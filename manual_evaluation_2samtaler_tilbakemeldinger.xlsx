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ouvetasa-my.sharepoint.com/personal/henriette_ingvaldsen_bouvet_no/Documents/Dokumenter/MS ID/"/>
    </mc:Choice>
  </mc:AlternateContent>
  <xr:revisionPtr revIDLastSave="237" documentId="8_{5A8A608D-6541-43BE-93B1-F8A89BE599ED}" xr6:coauthVersionLast="47" xr6:coauthVersionMax="47" xr10:uidLastSave="{0F73242D-EE18-41F0-8E7D-A6DB377CBE28}"/>
  <bookViews>
    <workbookView xWindow="-98" yWindow="-98" windowWidth="19396" windowHeight="11475" firstSheet="4" activeTab="4" xr2:uid="{00000000-000D-0000-FFFF-FFFF00000000}"/>
  </bookViews>
  <sheets>
    <sheet name="Forside" sheetId="1" r:id="rId1"/>
    <sheet name="Scoringskriterier" sheetId="2" r:id="rId2"/>
    <sheet name="Sheet1" sheetId="7" r:id="rId3"/>
    <sheet name="Samtale 1 – Transkript" sheetId="3" r:id="rId4"/>
    <sheet name="Samtale 1 – Scoring" sheetId="4" r:id="rId5"/>
    <sheet name="Samtale 2 – Transkript" sheetId="5" r:id="rId6"/>
    <sheet name="Samtale 2 – Scoring" sheetId="6"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6" l="1"/>
  <c r="E15" i="6"/>
  <c r="D15" i="6"/>
  <c r="C15" i="6"/>
  <c r="G13" i="6"/>
  <c r="G12" i="6"/>
  <c r="G11" i="6"/>
  <c r="G10" i="6"/>
  <c r="G9" i="6"/>
  <c r="G8" i="6"/>
  <c r="G7" i="6"/>
  <c r="G6" i="6"/>
  <c r="F15" i="4"/>
  <c r="E15" i="4"/>
  <c r="D15" i="4"/>
  <c r="C15" i="4"/>
  <c r="G13" i="4"/>
  <c r="G12" i="4"/>
  <c r="G11" i="4"/>
  <c r="G10" i="4"/>
  <c r="G9" i="4"/>
  <c r="G8" i="4"/>
  <c r="G7" i="4"/>
  <c r="G6" i="4"/>
  <c r="G15" i="6" l="1"/>
  <c r="G15" i="4"/>
</calcChain>
</file>

<file path=xl/sharedStrings.xml><?xml version="1.0" encoding="utf-8"?>
<sst xmlns="http://schemas.openxmlformats.org/spreadsheetml/2006/main" count="304" uniqueCount="257">
  <si>
    <t>Manuell evaluering av sammendrag</t>
  </si>
  <si>
    <t>Blindet evaluering – 2 samtaler, 8 sammendrag per samtale</t>
  </si>
  <si>
    <t>Hvordan bruke arbeidsboken</t>
  </si>
  <si>
    <t>1. For hver samtale finnes to faner: «… – Transkript» (les samtalen + referansenotat) og «… – Scoring» (gi poeng).</t>
  </si>
  <si>
    <t>2. I scoring-fanen: hver rad = ett sammendrag (8 sammendrag per samtale, anonymisert som Sammendrag A–H).</t>
  </si>
  <si>
    <t>3. Skriv kun tall (1–5) i de gule cellene. Grå celler beregnes automatisk. Skriv valgfri kommentar i de grønne.</t>
  </si>
  <si>
    <t>4. Du scorer på fire dimensjoner: Forankring (citation), Nøyaktighet (accurate), Grundighet (thorough) og Nytteverdi (useful).</t>
  </si>
  <si>
    <t>5. «Snitt» kolonnen er gjennomsnittet av de fire dimensjonene.</t>
  </si>
  <si>
    <t>6. Se fanen «Scoringskriterier» for definisjoner og skala – samme rubrikk som LLM-dommeren bruker.</t>
  </si>
  <si>
    <t>7. Fargekoder:  GUL = du fyller inn,  GRÅ = utregnet,  GRØNN = fritekst-notater.</t>
  </si>
  <si>
    <t>Kriterier (kort sammendrag) – se «Scoringskriterier» for full rubrikk</t>
  </si>
  <si>
    <t>Kriterium</t>
  </si>
  <si>
    <t>Beskrivelse</t>
  </si>
  <si>
    <t>Skala</t>
  </si>
  <si>
    <t>Forankring (citation)</t>
  </si>
  <si>
    <t>Påstander forankret i kilden (transkript)</t>
  </si>
  <si>
    <t>1–5</t>
  </si>
  <si>
    <t>Nøyaktighet (accurate)</t>
  </si>
  <si>
    <t>Faktisk korrekt vs. transkriptet</t>
  </si>
  <si>
    <t>Grundighet (thorough)</t>
  </si>
  <si>
    <t>Inkluderer klinisk relevant informasjon</t>
  </si>
  <si>
    <t>Nytteverdi (useful)</t>
  </si>
  <si>
    <t>Klinisk nyttig, riktig prioritert</t>
  </si>
  <si>
    <t>Samtaler i denne arbeidsboken</t>
  </si>
  <si>
    <t>Samtale</t>
  </si>
  <si>
    <t>Antall sammendrag</t>
  </si>
  <si>
    <t>Samtale 1</t>
  </si>
  <si>
    <t>Samtale 2</t>
  </si>
  <si>
    <t>Scoringsrubrikk – samme kriterier som LLM-dommeren</t>
  </si>
  <si>
    <t>Hvert sammendrag scores på fire dimensjoner: forankring (citation), nøyaktighet (accurate), grundighet (thorough) og nytteverdi (useful). For hver dimensjon angir tabellen hva som kjennetegner score 1 (svakest) til score 5 (best). Bruk hele heltall i intervallet 1–5.</t>
  </si>
  <si>
    <t>Dimensjon</t>
  </si>
  <si>
    <t>1 – svakest</t>
  </si>
  <si>
    <t>2</t>
  </si>
  <si>
    <t>3</t>
  </si>
  <si>
    <t>4</t>
  </si>
  <si>
    <t>5 – best</t>
  </si>
  <si>
    <t>Mange påstander er ikke støttet av transkriptet (flere fabrikkerte/oppdiktede detaljer).</t>
  </si>
  <si>
    <t>Vesentlige deler er ikke direkte støttet, eller flere påstander er overtolkninger av kilden.</t>
  </si>
  <si>
    <t>Det meste er forankret, men noen påstander er ikke direkte gjenfinnbare i transkriptet.</t>
  </si>
  <si>
    <t>Nesten alle påstander er forankret. Kun mindre tolkninger uten klar kildebasis.</t>
  </si>
  <si>
    <t>Alle påstander er tydelig forankret i transkriptet uten oppdiktede detaljer.</t>
  </si>
  <si>
    <t>Hver påstand i sammendraget kan spores til transkriptet.</t>
  </si>
  <si>
    <t>Flere alvorlige faktafeil (f.eks. feil diagnose, feil medikament, feil tall) som endrer klinisk bilde.</t>
  </si>
  <si>
    <t>Minst én betydelig faktafeil eller flere mindre feil som kan misforstås klinisk.</t>
  </si>
  <si>
    <t>Stort sett korrekt, men har enkelte mindre faktafeil eller upresise formuleringer.</t>
  </si>
  <si>
    <t>Korrekt med kun trivielle unøyaktigheter (f.eks. ordvalg) som ikke endrer mening.</t>
  </si>
  <si>
    <t>Fullt ut faktisk korrekt; alle navn, tall, funn og beslutninger stemmer med transkriptet.</t>
  </si>
  <si>
    <t>Faktisk korrekt sammenlignet med transkriptet (ingen feil tall, navn, funn, beslutninger).</t>
  </si>
  <si>
    <t>Mangler det meste av klinisk relevant informasjon; flere kritiske punkter er utelatt.</t>
  </si>
  <si>
    <t>Mangler flere viktige kliniske punkter (f.eks. funn, plan eller relevant anamnese).</t>
  </si>
  <si>
    <t>Dekker hovedpunktene, men hopper over enkelte relevante detaljer.</t>
  </si>
  <si>
    <t>Dekker stort sett alt klinisk relevant; kun små utelatelser av mindre betydning.</t>
  </si>
  <si>
    <t>Komplett – alle klinisk relevante elementer fra samtalen er inkludert og strukturert.</t>
  </si>
  <si>
    <t>Dekker den klinisk relevante informasjonen fra samtalen (S/O/A/P med relevante detaljer).</t>
  </si>
  <si>
    <t>Lite klinisk nyttig; viktig informasjon er begravet eller mangler, fokus er feil prioritert.</t>
  </si>
  <si>
    <t>Begrenset nytte; må skrives om vesentlig før det kan brukes i journal/oppfølging.</t>
  </si>
  <si>
    <t>Brukbar, men krever en del redigering; prioritering kunne vært bedre.</t>
  </si>
  <si>
    <t>Klinisk nyttig med kun mindre justeringer; god prioritering av det viktige.</t>
  </si>
  <si>
    <t>Direkte klinisk nyttig som det står; tydelig prioritert, fokus på det som er relevant for videre forløp.</t>
  </si>
  <si>
    <t>Klinisk nyttig i praksis – riktig prioritering, fokus på det som betyr noe for videre oppfølging.</t>
  </si>
  <si>
    <t>Snitt = gjennomsnitt av de fire dimensjonene (citation + accurate + thorough + useful) / 4. Skriv kun heltall 1–5 i scoring-fanene. La cellen stå tom hvis du ikke kan vurdere et kriterium.</t>
  </si>
  <si>
    <t>Gå til scoring-fanen «Samtale 1 – Scoring» når du har lest gjennom.</t>
  </si>
  <si>
    <t>TRANSKRIPT (kildesamtale)</t>
  </si>
  <si>
    <t>[doctor] so jerry is a 45 -year-old male who came in today with an ankle injury jerry what happened</t>
  </si>
  <si>
    <t>[patient] hey doctor michael yeah so my son sean i think you met in the past he he started playing basketball and there we do multiple seasons and so we're kinda getting ready for the next season that starts in in april and we were at the courts plan and i went up for a shot and he's far more aggressive than with me than he is with you know his peers i guess he could say and so he he found me while i was going for a lap and then when i came down i kind of landed awkwardly and i kind of like rolled and twisted my my ankle so now it's it's hurting a bit like kind of on the outside you can you can even see it's it's bruised up and a bit swollen</t>
  </si>
  <si>
    <t>[doctor] yeah</t>
  </si>
  <si>
    <t>[patient] and yeah i've been having trouble walking and it just does n't feel solid really stable which is a problem i i recently got back into working out and i had been in a really good rhythm going to the gym</t>
  </si>
  <si>
    <t>[doctor] okay</t>
  </si>
  <si>
    <t>[patient] and i do n't want to disrupt that moments on because it took a lot for me to get back to a good place so</t>
  </si>
  <si>
    <t>[doctor] absolutely okay totally understand that glad to hear that you're back out on the court playing with your son how is he doing by the way</t>
  </si>
  <si>
    <t>[patient] he is doing great he is doing great i mean you know he is a big step kurry fan so he likes to keep up shots from from way out past the three point line and he is only ten and tiny so it's it's not a good idea for him to do that but he is doing really well and i'm just happy he's tried every sport and basketball's really what took so i'm just really happy that he has a sport and loves and couple of his buddies playing to lead with him so it's just makes me happy that he's found something he really enjoys</t>
  </si>
  <si>
    <t>[doctor] good good to hear alright well let's take a look at that ankle it looks like it's pretty swollen so let me just do a quick exam on that right now alright so looks like the outside of your ankle if i push on that does that hurt pretty bad</t>
  </si>
  <si>
    <t>[patient] yeah yes</t>
  </si>
  <si>
    <t>[doctor] okay so exquisite tenderness tenderness laterally and then if i push here does that hurt too</t>
  </si>
  <si>
    <t>[patient] yeah a little bit</t>
  </si>
  <si>
    <t>[doctor] okay so some tenderness over the medial deltoid region so swelling on the lateral side of the ankle no epidermolysis skin is intact looks like you have brisk capillary refill no horrible malalignment so alright can you can you stand on it did you say that you're having trouble walking at all</t>
  </si>
  <si>
    <t>[patient] yeah i mean i can stand on it and i ca n't walk on it it just it hurts and it feels like i'm going to possibly injure it more just because it does n't feel particularly solid</t>
  </si>
  <si>
    <t>[doctor] sure so it does n't quite feel stable</t>
  </si>
  <si>
    <t>[patient] yeah</t>
  </si>
  <si>
    <t>[doctor] okay okay i gotcha so i know you had an x-ray as you came in today and so i'm just looking at this x-ray here i'll show you on the screen right here i can turn my monitor towards you this is an ap lateral oblique and this is your right ankle so what we're looking at is a displaced lateral malleolus at the weber c level there's no evidence of medial or posterior malleolar fractures but this is a fracture on the lateral side of your ankle now based on the position it's a bit unstable that's why you're feeling some of that that instability when you're walking so for your diagnosis what i'm gon na put down is a lateral malleolar fracture and what i would recommend for that since it is in the location that it is is you're probably unfortunately gon na need surgery we're gon na wan na get that healed what that includes is putting some plate and some screws in and you're gon na be out for a little bit so i know you've been trying to work out and and you wan na get back on the court but but you may have to have to sit out for a little bit we'll get you some crutches</t>
  </si>
  <si>
    <t>[patient] how long it's a little bit because i'm also i i forgot to say i'm also i did volunteer to coach</t>
  </si>
  <si>
    <t>[doctor] great</t>
  </si>
  <si>
    <t>[patient] starting in april so</t>
  </si>
  <si>
    <t>[doctor] alright well</t>
  </si>
  <si>
    <t>[patient] how long</t>
  </si>
  <si>
    <t>[doctor] yeah you you're probably gon na be out for about three months but continue the coaching go ahead and and let's get you back out there we'll get you some crutches and and hopefully you can kinda you know get back on the court start coaching and then within that three months we'll we'll get you back out doing some exercise again</t>
  </si>
  <si>
    <t>[patient] okay</t>
  </si>
  <si>
    <t>[doctor] alright in the meantime i'm gon na prescribe some medication for now let's try meloxicam and try to get some of the swelling down i want you to ice it and also keep that that ankle elevated do you have a job where you can elevate your ankle regularly</t>
  </si>
  <si>
    <t>[patient] yeah i i work from home so that that should n't be a problem it's just everything else i do n't know who is gon na walk my dogs and and do all this stuff that's rest of my family refuses to walk my dog so we'll figure it out</t>
  </si>
  <si>
    <t>[doctor] yeah i i'm a dog walker as well so alright sorry for the bad news but let's get you healed up so that we can get you back out doing everything you need to do</t>
  </si>
  <si>
    <t>[patient] alright thank you doctor</t>
  </si>
  <si>
    <t>[doctor] alright thanks</t>
  </si>
  <si>
    <t>REFERANSENOTAT (tgt – 'gold standard')</t>
  </si>
  <si>
    <t>CHIEF COMPLAINT</t>
  </si>
  <si>
    <t>Right ankle injury.</t>
  </si>
  <si>
    <t>HISTORY OF PRESENT ILLNESS</t>
  </si>
  <si>
    <t>Jerry Cook is a 45-year-old male who presents today with a right ankle injury.</t>
  </si>
  <si>
    <t>The patient sustained an injury to the right ankle while playing basketball with his son. He reports he landed awkwardly and twisted his right ankle after jumping to make a layup. His pain is primarily located along the lateral aspect of the right ankle. He notes bruising and swelling. The patient is able to weight-bear while standing. He experiences pain and feelings of instability within the ankle while ambulating and is concerned for further injury.</t>
  </si>
  <si>
    <t>SOCIAL HISTORY</t>
  </si>
  <si>
    <t>The patient works from home and plans to coach his son’s basketball team in 04/2022. He enjoys working out and reports he recently resumed engaging in a consistent gym routine.</t>
  </si>
  <si>
    <t>REVIEW OF SYSTEMS</t>
  </si>
  <si>
    <t>Musculoskeletal: Reports right ankle pain and instability.</t>
  </si>
  <si>
    <t>Skin: Reports right ankle bruising and swelling.</t>
  </si>
  <si>
    <t>PHYSICAL EXAM</t>
  </si>
  <si>
    <t>CV: Brisk capillary refill.</t>
  </si>
  <si>
    <t>SKIN: No epidermolysis. Intact.</t>
  </si>
  <si>
    <t>MSK: Examination of the right ankle: Exquisite tenderness laterally. Mild tenderness over the medial deltoid region. Swelling on the lateral side of the ankle. No horrible malalignment.</t>
  </si>
  <si>
    <t>RESULTS</t>
  </si>
  <si>
    <t>X-rays, including AP, lateral, and oblique views of the right ankle, were obtained in the office and reviewed today. These demonstrate a displaced lateral malleolus at the Weber C level. There is no evidence of medial or posterior malleolar fractures.</t>
  </si>
  <si>
    <t>ASSESSMENT</t>
  </si>
  <si>
    <t>Right lateral malleolar fracture.</t>
  </si>
  <si>
    <t>PLAN</t>
  </si>
  <si>
    <t>After reviewing the patient's examination and radiographic findings today, I have had a lengthy discussion with him regarding treatment options. Recommendation was made for an open reduction internal fixation of the right ankle. We discussed the risks and benefits of the procedure as well as the postoperative recovery period following surgery. I advised that it will be 3 months before he can resume his exercise routine. In the meantime, I will prescribe meloxicam to reduce swelling. I recommended he ice and elevate the ankle as well. He will be given crutches to assist with ambulation.</t>
  </si>
  <si>
    <t>The patient understands and agrees with the recommended medical treatment plan.</t>
  </si>
  <si>
    <t>Samtale 1 – manuell scoring (blindet)</t>
  </si>
  <si>
    <t>Fyll inn tall (1–5) i gule celler. Grå = utregnet. Grønn = kommentarer.</t>
  </si>
  <si>
    <t>Se «Samtale 1 – Transkript» for samtalen + referansenotatet, og «Scoringskriterier» for rubrikken.</t>
  </si>
  <si>
    <t>Sammendrag (anonymisert)</t>
  </si>
  <si>
    <t>Sammendrag (fullstendig)</t>
  </si>
  <si>
    <t>Forankring
(citation)
1–5</t>
  </si>
  <si>
    <t>Nøyaktighet
(accurate)
1–5</t>
  </si>
  <si>
    <t>Grundighet
(thorough)
1–5</t>
  </si>
  <si>
    <t>Nytteverdi
(useful)
1–5</t>
  </si>
  <si>
    <t>Snitt
(av 4)</t>
  </si>
  <si>
    <t>Kommentar</t>
  </si>
  <si>
    <t>Sammendrag A</t>
  </si>
  <si>
    <t>S - Subjektive opplysninger:
- 45 år gammel mann med ankelskade etter basketspill. Oppgir at han landet skjevt og vridde/rullet høyre ankel.
- Smerter særlig på utsiden av ankelen, samt synlig blåmerke og hevelse.
- Oppgir vansker med å gå; kan stå på ankelen, men det gjør vondt og kjennes ustabilt/ikke solid.
- Ønsker å komme tilbake til trening; opplyser også at han skal være trener fra april.
- Oppgir at han jobber hjemmefra og derfor kan holde ankelen hevet.
O - Objektive opplysninger:
- Klinisk undersøkelse: uttalt ømhet lateralt over ankelen, noe ømhet medialt over deltoidregionen. Hevelse lateralt. Hud intakt. Brisk kapillærfylning. Ingen uttalt feilstilling.
- Røntgen tatt tidligere samme dag: høyre ankel, AP/lateral/oblique. Viser dislosert lateral malleolfraktur på Weber C-nivå. Ingen tegn til medial eller posterior malleolfraktur.
- Legen vurderer frakturen som noe ustabil basert på stillingen.
A - Vurdering:
- Høyre lateral malleolfraktur (Weber C), dislosert og vurdert som ustabil, forenlig med smerter, hevelse og instabilitetsfølelse ved belastning.
- Legen vurderer at pasienten sannsynligvis vil trenge operasjon med plate og skruer.
P - Plan:
- Krykker.
- Meloksikam forskrives for smerter/hevelse.
- Råd om ising og elevasjon av ankelen.
- Informert om forventet fravær fra aktivitet i omtrent 3 måneder, men kan fortsette med coaching.
- Videre plan er kirurgisk behandling ifølge legens anbefaling.</t>
  </si>
  <si>
    <t>Sammendrag B</t>
  </si>
  <si>
    <t>S - Subjektive opplysninger:
- 45 år gammel mann med ankelskade etter basketspill. Oppgir at han landet skjevt og vridde/rullet høyre ankel.
- Smerter lateralt i ankelen, synlig blåmerke og hevelse. Oppgir vansker med å gå, men kan stå på foten. Beskriver at ankelen ikke føles stabil og at han er redd for å skade den mer ved belastning.
- Opplyser at han nylig har begynt å trene igjen og er bekymret for avbrudd. Har også meldt seg som trener fra april.
- Oppgir at han jobber hjemmefra og kan holde ankelen hevet.
O - Objektive opplysninger:
- Klinisk undersøkelse: uttalt ømhet lateralt over ankelen, noe ømhet medialt over deltoidregionen. Hevelse lateralt. Hud intakt. Brisk kapillærfylning. Ingen uttalt feilstilling.
- Røntgen tatt i dag av høyre ankel (AP/lateral/oblique) viser dislosert lateral malleolfraktur på Weber C-nivå. Ingen tegn til medial eller posterior malleolfraktur.
- Legen vurderer frakturen som noe ustabil.
A - Vurdering:
- Høyre lateral malleolfraktur etter vridningstraume. Basert på røntgen og opplevd instabilitet vurderes frakturen som ustabil.
- Legen opplyser at pasienten sannsynligvis vil trenge operasjon med plate og skruer.
P - Plan:
- Krykker.
- Meloksikam foreskrives for smerter/hevelse.
- Råd om is og elevasjon av ankelen.
- Informert om forventet fravær fra trening/belastende aktivitet i omtrent 3 måneder.</t>
  </si>
  <si>
    <t>Sammendrag C</t>
  </si>
  <si>
    <t>S - Subjektive opplysninger:
- Kontaktårsak: ankelskade etter vridning/overtråkk under basketball.
- Pasienten oppgir at han landet skjevt og vred ankelen, med smerter særlig på utsiden, synlig blåmerke og hevelse.
- Oppgir vansker med å gå. Kan stå på ankelen, men det gjør vondt og ankelen kjennes ikke stabil/solid, med bekymring for å skade den mer.
O - Objektive opplysninger:
- Klinisk undersøkelse: uttalt ømhet lateralt over ankelen, noe ømhet medialt over deltoidregionen. Hevelse lateralt. Hud intakt. Brisk kapillærfylling. Ingen uttalt feilstilling.
- Røntgen tatt ved ankomst: dislosert lateral malleolfraktur på Weber C-nivå i høyre ankel. Ingen tegn til medial eller posterior malleolfraktur.
A - Vurdering:
- Høyre lateral malleolfraktur (Weber C), vurdert som noe ustabil ut fra lokalisasjon/stilling og samsvarende med pasientens opplevelse av instabilitet ved belastning.
- Lege vurderer at pasienten sannsynligvis vil trenge kirurgi med plate og skruer.
P - Plan:
- Krykker.
- Meloksikam foreskrives.
- Råd om ising og elevasjon av ankelen.
- Informert om forventet fravær fra aktivitet/trening i omtrent 3 måneder.</t>
  </si>
  <si>
    <t>Sammendrag D</t>
  </si>
  <si>
    <t>S - Subjektive opplysninger:
- Oppsøker for ankelskade etter at han landet skjevt og vridde/rullet høyre ankel under basketball. Oppgir smerter særlig på utsiden av ankelen, synlig blåmerke og hevelse.
- Har vansker med å gå. Kan stå på ankelen, men opplever smerte og at ankelen ikke føles stabil/solid.
- Opplyser at han nylig har begynt å trene igjen og er bekymret for avbrudd. Opplyser også at han skal være trener fra april.
O - Objektive opplysninger:
- Klinisk undersøkelse: uttalt ømhet lateralt over ankelen, noe ømhet medialt over deltoidregionen. Hevelse lateralt. Hud intakt. Brisk kapillærfylning. Ingen uttalt feilstilling.
- Røntgen tatt ved ankomst: høyre ankel, AP/lateral/oblique. Viser dislosert lateral malleolfraktur på Weber C-nivå. Ingen tegn til medial eller posterior malleolfraktur.
A - Vurdering:
- Høyre lateral malleolfraktur, beskrevet som dislosert Weber C-fraktur. Legen vurderer frakturen som noe ustabil, forenlig med pasientens opplevelse av instabilitet ved belastning.
- Legen vurderer at pasienten sannsynligvis vil trenge kirurgi med plate og skruer.
P - Plan:
- Krykker.
- Meloksikam foreskrives for smerter/hevelse.
- Råd om is og elevasjon av ankelen.
- Informert om forventet fravær fra aktivitet i omtrent 3 måneder, men kan fortsette med coaching etter evne.
- Videre plan ifølge legen er sannsynlig operativ behandling.</t>
  </si>
  <si>
    <t>Sammendrag E</t>
  </si>
  <si>
    <t>S - Subjektive opplysninger:
- Kontaktårsak: ankelskade etter basketspill.
- Pasienten oppgir at han landet skjevt og vridde/rullet høyre ankel etter kontakt under spill. Smerter særlig på utsiden av ankelen, med synlig blåmerke og hevelse.
- Oppgir vansker med å gå. Kan stå på ankelen og gå på den, men det gjør vondt og ankelen kjennes ikke stabil/solid.
- Opplyser at han nylig har begynt å trene igjen og er bekymret for avbrudd. Har også meldt seg som trener fra april.
O - Objektive opplysninger:
- Ved undersøkelse: uttalt ømhet lateralt over ankelen, noe ømhet medialt over deltoidregionen. Hevelse lateralt. Hud intakt. Brisk kapillærfylling. Ingen uttalt feilstilling.
- Røntgen tatt ved ankomst: høyre ankel, AP/lateral/oblique. Viser dislosert lateral malleolfraktur på Weber C-nivå. Ingen tegn til medial eller posterior malleolfraktur.
A - Vurdering:
- Høyre lateral malleolfraktur. Legen vurderer frakturen som noe ustabil basert på posisjon og pasientens opplevelse av instabilitet ved gange.
- Legen vurderer at pasienten sannsynligvis vil trenge kirurgi.
P - Plan:
- Anbefales kirurgisk behandling; legen opplyser at dette trolig vil innebære plate og skruer.
- Krykker ordnes.
- Meloksikam forskrives.
- Råd om ising og elevasjon av ankelen.
- Legen opplyser at pasienten sannsynligvis vil være ute av aktivitet i omtrent 3 måneder, men kan fortsette med coaching.</t>
  </si>
  <si>
    <t>Sammendrag F</t>
  </si>
  <si>
    <t>S - Subjektive opplysninger:
- 45 år gammel mann med ankelskade etter basketspill. Oppgir at han landet skjevt og vridde/rullet høyre ankel.
- Smerter særlig på utsiden av ankelen, samt synlig blåmerke og hevelse.
- Oppgir vansker med å gå. Kan stå på ankelen, men det gjør vondt og ankelen kjennes ustabil/ikke solid.
- Opplyser at han jobber hjemmefra og derfor kan holde ankelen hevet.
O - Objektive opplysninger:
- Klinisk undersøkelse: uttalt ømhet lateralt over ankelen, noe ømhet medialt over deltoidregionen. Hevelse lateralt. Hud intakt. Brisk kapillærfylling. Ingen uttalt feilstilling.
- Røntgen tatt ved ankomst: høyre ankel, AP/lateral/oblique. Viser dislosert lateral malleolfraktur på Weber C-nivå. Ingen tegn til medial eller posterior malleolfraktur.
A - Vurdering:
- Høyre lateral malleolfraktur, dislosert på Weber C-nivå. Legen vurderer frakturen som noe ustabil, forenlig med pasientens opplevelse av instabilitet ved belastning.
- Det opplyses at pasienten sannsynligvis vil trenge kirurgi med plate og skruer.
P - Plan:
- Krykker.
- Meloksikam foreskrives for smerter/hevelse.
- Råd om is og elevasjon av ankelen.
- Informert om forventet fravær fra trening/idrett i omtrent 3 måneder.
- Plan om kirurgisk behandling vurderes som sannsynlig nødvendig.</t>
  </si>
  <si>
    <t>Sammendrag G</t>
  </si>
  <si>
    <t>**S - Subjektive opplysninger**  
45 år gammel mann med ankelskade etter basketspill. Landet skjevt etter kontakt og vred/rullet høyre ankel. Oppgir smerter særlig på utsiden av ankelen, synlig blåmerke og hevelse. Har vansker med å gå; kan stå på foten, men det gjør vondt og ankelen kjennes ustabil.
**O - Objektive opplysninger**  
Klinisk sees hevelse lateralt ved ankelen. Uttalt palpasjonsømhet lateralt, noe ømhet medialt over deltoidregionen. Hud intakt, ingen feilstilling, brisk kapillærfylling. Røntgen av høyre ankel (AP/lateral/skrå) viser dislosert lateral malleolfraktur på Weber C-nivå. Ingen tegn til medial eller posterior malleolfraktur.
**A - Vurdering**  
Høyre lateral malleolfraktur, dislosert og vurdert som noe ustabil, forenlig med pasientens opplevelse av instabilitet ved belastning. Sannsynlig behov for operativ behandling.
**P - Plan**  
Anbefalt kirurgisk behandling med plate og skruer. Krykker ordnes. Meloksikam forskrives for smerte/hevelse. Råd om is og elevasjon. Pasienten kan trolig være ute av aktivitet i omtrent 3 måneder. Pasienten jobber hjemmefra og kan holde ankelen hevet.</t>
  </si>
  <si>
    <t>Sammendrag H</t>
  </si>
  <si>
    <t>S - Subjektive opplysninger:
- 45 år gammel mann med ankelskade etter basketspill. Landet skjevt etter kontakt og vred/vrikket ankelen.
- Oppgir smerter lateralt i ankelen, synlig blåmerke og hevelse, samt problemer med å gå. Kan stå på foten, men opplever smerte og at ankelen ikke føles stabil.
- Ønsker å komme tilbake til trening; opplyser også at han skal være frivillig trener fra april.
- Opplyser at han jobber hjemmefra og kan holde ankelen hevet.
O - Objektive opplysninger:
- Klinisk undersøkelse: uttalt ømhet lateralt, noe ømhet medialt over deltoidregionen. Hevelse lateralt. Hud intakt. Brisk kapillærfylning. Ingen uttalt feilstilling.
- Røntgen tatt i dag av høyre ankel (AP/lateral/skrå): dislosert lateral malleolfraktur på Weber C-nivå. Ingen tegn til medial eller posterior malleolfraktur.
A - Vurdering:
- Høyre lateral malleolfraktur, dislosert, vurdert som noe ustabil ut fra lokalisasjon og stilling. Dette samsvarer med pasientens opplevelse av instabilitet ved belastning.
- Det ble opplyst at pasienten sannsynligvis vil trenge kirurgi.
P - Plan:
- Krykker ordnes.
- Meloksikam foreskrives for smerter/hevelse.
- Råd om is og elevasjon av ankelen.
- Informert om forventet fravær fra aktivitet i omtrent 3 måneder, men kan fortsette med coaching etter evne.
- Videre plan er kirurgisk vurdering/behandling med plate og skruer ifølge legen.</t>
  </si>
  <si>
    <t>Gjennomsnitt (alle 8)</t>
  </si>
  <si>
    <t>Gå til scoring-fanen «Samtale 2 – Scoring» når du har lest gjennom.</t>
  </si>
  <si>
    <t>[doctor] hey brandon you know glad to see you in here today i see on your chart that you're experiencing some neck pain could you tell me a bit about what happened</t>
  </si>
  <si>
    <t>[patient] yeah i was in a car crash</t>
  </si>
  <si>
    <t>[doctor] wow okay when was that</t>
  </si>
  <si>
    <t>[patient] well which car crash</t>
  </si>
  <si>
    <t>[doctor] okay so multiple car crashes alright so let's see if we can how many let's start</t>
  </si>
  <si>
    <t>[patient] my therapist said well my well actually my mother said i should go see the therapist and the therapist said i should see the lawyer but my neck's hurting</t>
  </si>
  <si>
    <t>[doctor] okay so i'm glad that you know you're getting some advice and so let's let's talk about this neck pain how many car crashes have we had recently</t>
  </si>
  <si>
    <t>[patient] well the ones that are my fault or all of them</t>
  </si>
  <si>
    <t>[doctor] all of them</t>
  </si>
  <si>
    <t>[patient] i was fine after the second crash although i was in therapy for a few months and then after the third crash i had surgery but i was fine until this crash</t>
  </si>
  <si>
    <t>[doctor] okay the most recent crash when was that</t>
  </si>
  <si>
    <t>[patient] that's when i was coming home from the pain clinic because my neck hurt and my back hurt but that was in february</t>
  </si>
  <si>
    <t>[doctor] okay alright so we had a car crash in february</t>
  </si>
  <si>
    <t>[patient] what year it was which february it was</t>
  </si>
  <si>
    <t>[doctor] okay so let's let's try with this one see what happens hopefully you remember i need you to start writing down these car crashes that this is becoming a thing but you know it's okay so let's let's say maybe you had a</t>
  </si>
  <si>
    <t>[patient] you're not judging me are you</t>
  </si>
  <si>
    <t>[doctor] no there's no judgment here whatsoever i want to make sure that i'm giving you the best advise possible and in order to do that i need the most information that you can provide me makes sense</t>
  </si>
  <si>
    <t>[patient] yes</t>
  </si>
  <si>
    <t>[doctor] alright so we're gon na say hope maybe that you had a car crash and we can verify this in february of this year and you've been experiencing some neck pain since then right</t>
  </si>
  <si>
    <t>[doctor] okay alright on a scale of one to ten what ten is your arm is being cut off by a chainsaw severe how bad is your pain</t>
  </si>
  <si>
    <t>[patient] twelve</t>
  </si>
  <si>
    <t>[doctor] okay terrible pain now i know you mentioned you had previous car crashes and you've been to therapy has anyone prescribed you any medication it's you said you went to a pain clinic yes</t>
  </si>
  <si>
    <t>[patient] well they had prescribed it recently i was i was on fentanyl</t>
  </si>
  <si>
    <t>[doctor] oh</t>
  </si>
  <si>
    <t>[patient] i have n't gotten a prescription for several weeks</t>
  </si>
  <si>
    <t>[doctor] okay alright and so we will be able to check on that when you take your medication so before you take your medication rather like are you able to move like are you experiencing any stiffness</t>
  </si>
  <si>
    <t>[patient] yes but it hurts</t>
  </si>
  <si>
    <t>[doctor] okay it hurts what kind of pain is it sharp is it dull is it throbbing</t>
  </si>
  <si>
    <t>[patient] it's the sharp incapacitating pain i ca n't work</t>
  </si>
  <si>
    <t>[doctor] wow okay are you having any headaches</t>
  </si>
  <si>
    <t>[patient] of course</t>
  </si>
  <si>
    <t>[doctor] any dizziness</t>
  </si>
  <si>
    <t>[patient] just sometimes</t>
  </si>
  <si>
    <t>[doctor] any visual disturbances is it hard to like are you</t>
  </si>
  <si>
    <t>[patient] not recently no</t>
  </si>
  <si>
    <t>[doctor] okay alright any numbness</t>
  </si>
  <si>
    <t>[doctor] where</t>
  </si>
  <si>
    <t>[patient] my left arm and my right leg</t>
  </si>
  <si>
    <t>[doctor] okay any spasms</t>
  </si>
  <si>
    <t>[doctor] okay where</t>
  </si>
  <si>
    <t>[patient] my body hurts i told you my neck hurts</t>
  </si>
  <si>
    <t>[doctor] okay so i no i'm absolutely i wan na make sure that we are gon na give you the medication that works like the best for you so i'm sorry if these questions seem like frustrating i would just wan na make sure that i understand what the problem is so</t>
  </si>
  <si>
    <t>[patient] i saw pamela and doctor collins's office she's much nicer than you know</t>
  </si>
  <si>
    <t>[doctor] i mean okay so you know what like maybe maybe pamela would be better like we could maybe talk talk about a referral if that would make you more comfortable</t>
  </si>
  <si>
    <t>[patient] my lawyer told me to come here</t>
  </si>
  <si>
    <t>[doctor] then you're stuck with me okay i'm so sorry but here it's we're gon na try and make it as good as possible alright so last thing i do wan na do my physical exam alright and i need you to let me know as as much as you as much as you can verbalize right so when i push here in the middle of your neck on top of the bone does it hurt</t>
  </si>
  <si>
    <t>[patient] yes yes</t>
  </si>
  <si>
    <t>[doctor] okay alright sorry what about on the side does that hurt</t>
  </si>
  <si>
    <t>[doctor] okay so pain on palpation both on the bony process and on the muscle can you move your neck from side to side can you move your neck can you swive it side to side no no alright so i'm i'm seeing i'm seeing some range of movement moderate range of movement that's fine okay i so when can you bend your neck forward that that's your whole body just just the neck are you capable of bending up</t>
  </si>
  <si>
    <t>[patient] really hurts it really hurts</t>
  </si>
  <si>
    <t>[doctor] okay it really hurts to bend forward and backwards okay alright so i'm just gon na make a little note here i do n't i do n't see any bruising i'm not noticing any swelling there is i i do n't see any laceration what</t>
  </si>
  <si>
    <t>[patient] just sometimes it bruises</t>
  </si>
  <si>
    <t>[doctor] okay sometimes alright that's fine i i just i'm not seeing one here today so that's okay alright so with that being said i do wan na ask have you been experiencing any fatigue are you tired</t>
  </si>
  <si>
    <t>[patient] well since the accident yes</t>
  </si>
  <si>
    <t>[doctor] okay alright just making sure okay so this is what this is my assessment and plan this is what we are gon na do i want to be able to like we had you do an x-ray before you came in here and looking at it i'm not noticing any fracture that's a really good sign considering how many car accidents we've been in lately</t>
  </si>
  <si>
    <t>[patient] it hurts it hurts</t>
  </si>
  <si>
    <t>[doctor] absolutely no i we're gon na address the pain so for my first so looking at your imaging results though i'm not seeing a fracture that's a great sign so for your first diagnosis i'm gon na say that you have what is called a neck sprain that</t>
  </si>
  <si>
    <t>[patient] thinking are are you saying i'm thinking</t>
  </si>
  <si>
    <t>[doctor] no not by any means i am saying</t>
  </si>
  <si>
    <t>[patient] pain i have a lot of pain</t>
  </si>
  <si>
    <t>[doctor] yes and your pain can be explained by multiple things but thankfully it's not a broken neck is that okay</t>
  </si>
  <si>
    <t>[doctor] alright so what we are gon na do when we are gon na like try and treat this as conservatively as possible</t>
  </si>
  <si>
    <t>[patient] said it might be broken</t>
  </si>
  <si>
    <t>[doctor] what</t>
  </si>
  <si>
    <t>[patient] pamela said it might be broken</t>
  </si>
  <si>
    <t>[doctor] if pamela said it's broken then you know what this is what we're gon na do we're gon na order something called a ct that's gon na give us even nope you know what let's upgrade to an mri it's gon na give us the most thorough image of everything that's going on the heart and the soft tissues is that gon na is that so that way we can really get a good image of what's happening inside right</t>
  </si>
  <si>
    <t>[patient] okay because what the lawyer said i needed was an mri</t>
  </si>
  <si>
    <t>[doctor] not a problem we're we're gon na make your lawyer happy next step we are going to try working like from the outside in so i do need you to work on getting like you're you're saying you've seen some bruising and some swelling yourself so i want you to put ice on that whenever you're experiencing that in the moment when you wake up i want you to do your best to just like i'm gon na give you some exercises on the sheet and i want you to roll through these exercises every morning right to just get some like movement and like free frenosive movement back into your neck i also wan na put you on a couple medications now i know that you said you were on fentanyl before that's a bit extreme and i i want i i i wan na like monitor this a little more conservatively so what we're gon na start with is something called robaxin</t>
  </si>
  <si>
    <t>[patient] hurts a lot if i do n't get more fentanyl</t>
  </si>
  <si>
    <t>[doctor] you know we can refer you to pain medicine if it really is getting that complicated but for this current period we're gon na put you on some robaxin it's gon na be fifteen hundred milligrams and you're gon na take that six to eight hours every six to eight hours and that really should help kinda relax the muscles in the area take off some of that tension and really help with that pain if you're noticing that the robaxin still is n't helping maybe then we can start we can like start using like a heat pad or maybe some icyhot the biofreeze is a really good one to kinda help with that and then we will refer you to physical therapy i think with the mri we can start evaluating maybe some additional steps so rather than you having to like take that fentanyl because i do n't want you to be in danger right like people i do n't want you to get rubbed so what we could explore are local injections right and we can refer you to pain medication and see about like locally injecting the area and that should be able to help you out hopefully with this</t>
  </si>
  <si>
    <t>[patient] i ca n't go to work like this</t>
  </si>
  <si>
    <t>[doctor] okay so if it's if it's that bad let's wait for the mri result we're gon na give you off for work because you know you ca n't move and we'll see what the mri says about what whether or not we can get you like true local injections in the moment is that alright for now</t>
  </si>
  <si>
    <t>[doctor] okay okay any other questions</t>
  </si>
  <si>
    <t>[patient] not right now</t>
  </si>
  <si>
    <t>[doctor] alright</t>
  </si>
  <si>
    <t>Neck pain.</t>
  </si>
  <si>
    <t>Brandon Green is a pleasant 46-year-old male who presents to the clinic today for the evaluation of neck pain. His pain began when he was involved in a motor vehicle accident in 02/2022 when he was on his way home from a pain clinic. The patient notes that he has been in 4 motor vehicle accidents; however, he notes that he was fine after the first two accidents, but the third motor vehicle accident is when his neck and back pain began. He states that he was in therapy following the second accident and had surgery after his third accident. The patient was seen at a pain clinic secondary to neck and back pain. He was prescribed fentanyl; however, he has not received a prescription for several weeks. Today, he reports that his pain is a 12 out of 10. He describes his pain as sharp and incapacitating with stiffness and pain. The patient also reports headaches, occasional dizziness. He denies any recent visual disturbances. He also reports numbness in his left arm and right leg. The patient also reports spasms throughout his body. He states that he has been experiencing fatigue since the accident. He notes that he is unable to work with this much pain.</t>
  </si>
  <si>
    <t>Constitutional: Reports fatigue.</t>
  </si>
  <si>
    <t>Eyes: Denies any recent visual disturbances.</t>
  </si>
  <si>
    <t>Musculoskeletal: Reports neck and back pain, and occasional swelling and bruising of the neck.</t>
  </si>
  <si>
    <t>Neurological: Reports headaches, dizziness, spasms, and numbness.</t>
  </si>
  <si>
    <t>SKIN: No lacerations.</t>
  </si>
  <si>
    <t>MSK: Examination of the cervical spine: Pain on palpation on the bony process and muscle. Moderate ROM. No bruising or edema noted.</t>
  </si>
  <si>
    <t>X-rays of the neck reveal no fractures.</t>
  </si>
  <si>
    <t>Neck sprain.</t>
  </si>
  <si>
    <t>After reviewing the patient's examination and radiographic findings today, I have had a lengthy discussion with the patient in regards to his current symptoms. I have explained to him that his x-rays did not reveal any signs of a fracture. I recommended an MRI for further evaluation. I have also prescribed the patient Robaxin 1500 mg every 6 to 8 hours to treat his pain. I have also advised him to utilize ice, a heating pad, IcyHot, or Biofreeze on his neck as needed. I have also provided him with a home exercise program to work on his range of motion. I advised the patient that he will not be able to work until we have the MRI results.</t>
  </si>
  <si>
    <t>INSTRUCTIONS</t>
  </si>
  <si>
    <t>The patient will follow up with me after his MRI for results.</t>
  </si>
  <si>
    <t>Samtale 2 – manuell scoring (blindet)</t>
  </si>
  <si>
    <t>Se «Samtale 2 – Transkript» for samtalen + referansenotatet, og «Scoringskriterier» for rubrikken.</t>
  </si>
  <si>
    <t>S - Subjektive opplysninger:
- Oppsøker for nakkesmerter etter bilulykke, mest nylige ulykke oppgis å ha vært i februar, med nakkesmerter siden da.
- Oppgir svært sterke smerter, beskrevet som skarpe og invalidiserende, og sier at han ikke kan arbeide.
- Oppgir stivhet og smerter ved bevegelse av nakken.
- Oppgir hodepine, tidvis svimmelhet, fatigue siden ulykken, nummenhet i venstre arm og høyre ben, samt spasmer.
- Benekter nylige synsforstyrrelser.
- Oppgir tidligere flere bilulykker; var i terapi i noen måneder etter en tidligere ulykke og hadde kirurgi etter en tredje ulykke. Det fremgår ikke hvilken kirurgi.
- Oppgir tidligere behandling ved smerteklinikk og at han nylig hadde vært på fentanyl, men ikke hatt resept de siste ukene.
- Oppgir selv at det av og til kommer blåmerker/hevelse, men dette var ikke til stede under dagens undersøkelse.
O - Objektive opplysninger:
- Ved undersøkelse ømhet ved palpasjon både over midtlinje/benyttet struktur i nakken og paraspinalt/muskulært.
- Legen observerer moderat bevegelsesutslag i nakken, men pasienten oppgir smerter ved sidebevegelse samt ved fleksjon og ekstensjon.
- Ingen synlige blåmerker, hevelse eller laserasjon ved dagens undersøkelse.
- Røntgen tatt før konsultasjonen: legen opplyser at det ikke ses fraktur.
A - Vurdering:
- Nakkesmerter etter bilulykke i februar. Basert på dagens røntgen uten synlig fraktur og klinisk vurdering vurderes dette som nakkeforstuing/neck sprain.
- Vedvarende sterke smerter og nevrologiske symptomer oppgis av pasienten (nummenhet i venstre arm og høyre ben). Videre billeddiagnostikk planlegges.
P - Plan:
- Bestille MR av nakken for videre utredning.
- Konservativ behandling anbefales: is ved opplevd hevelse/blåmerker og øvelser for nakken hver morgen, med øvelsesark.
- Starte Robaxin 1500 mg hver 6.–8. time.
- Dersom utilstrekkelig effekt av Robaxin, foreslås varmepute eller lokale smertelindrende midler som Icy Hot/Biofreeze.
- Henvisning til fysioterapi.
- Ved vedvarende/kompliserte smerter kan henvisning til smertemedisin vurderes, inkludert mulig lokal injeksjonsbehandling.
- Pasienten får sykmelding/fri fra arbeid inntil videre, i påvente av MR-svar og videre vurdering.</t>
  </si>
  <si>
    <t>S - Subjektive opplysninger:
- Oppsøker for nakkesmerter etter bilulykke, oppgir at siste ulykke var i februar i år og at nakkesmertene har vært til stede siden da.
- Oppgir svært sterke smerter, beskrevet som skarpe og invalidiserende, med stivhet og smerter ved bevegelse av nakken. Sier at han ikke kan arbeide slik det er nå.
- Oppgir hodepine, tidvis svimmelhet, ingen nylige synsforstyrrelser.
- Oppgir nummenhet i venstre arm og høyre ben.
- Oppgir spasmer og tretthet siden ulykken.
- Opplyser om tidligere bilulykker, tidligere terapi over noen måneder og at han etter en tredje ulykke hadde kirurgi; sier at han var bra frem til denne ulykken.
- Oppgir tidligere kontakt med smerteklinikk og at han nylig hadde vært behandlet med fentanyl, men ikke hatt resept de siste ukene.
O - Objektive opplysninger:
- Ved undersøkelse oppgis smerte ved palpasjon både midt over cervicale benete strukturer og lateralt i muskulaturen.
- Moderat bevegelsesutslag i nakken observert; smerter ved sidebevegelse samt ved fleksjon og ekstensjon.
- Ingen blåmerker, hevelse eller sår/lacerasjoner sett ved dagens undersøkelse.
- Røntgen tatt før konsultasjonen: legen opplyser at det ikke ses fraktur.
A - Vurdering:
- Nakkesmerter etter bilulykke i februar. På bakgrunn av sykehistorie, klinisk undersøkelse og røntgen uten synlig fraktur vurderes dette som nakkeforstuing.
- Videre billeddiagnostikk planlegges med MR.
P - Plan:
- Bestille MR av nakken for videre vurdering.
- Konservativ behandling anbefales.
- Robaxin 1500 mg hver 6.–8. time.
- Råd om is ved opplevd hevelse/blåmerker.
- Får øvelser på ark som skal gjennomføres hver morgen for å bedre bevegelse i nakken.
- Dersom Robaxin ikke hjelper, råd om varmepute eller lokale midler som Icy Hot/Biofreeze.
- Henvisning til fysioterapi.
- Ved vedvarende/plagsomme smerter kan henvisning til smertemedisin vurderes, inkludert mulig lokal injeksjonsbehandling.
- Får sykmelding/fritak fra arbeid inntil videre, i påvente av MR-svar.</t>
  </si>
  <si>
    <t>**S - Subjektive opplysninger**  
Pasienten oppsøker legevakt grunnet nakkesmerter etter bilulykke, oppgir siste ulykke i februar i år. Har hatt flere tidligere bilulykker, tidligere gått i terapi og vært operert etter en tidligere ulykke. Oppgir nakkesmerter siden siste ulykke. Smerteintensitet angis til 12/10. Beskriver smerten som skarp og invalidiserende, og oppgir at han ikke kan arbeide. Oppgir stivhet/bevegelsessmerter i nakken, hodepine, periodevis svimmelhet, fatigue siden ulykken, nummenhet i venstre arm og høyre ben, samt spasmer. Ingen nylige synsforstyrrelser. Oppgir tidligere behandling ved smerteklinikk og at han nylig har brukt fentanyl, men ikke fått resept de siste ukene.
**O - Objektive opplysninger**  
Ved klinisk undersøkelse ømhet ved palpasjon både midt over cervicale benstrukturer og paracervikalt muskulært. Smerter ved nakkebevegelser, særlig fleksjon og ekstensjon. Moderat bevegelighet side til side observert. Ingen synlig hevelse, blåmerker eller sår/lacerasjoner ved undersøkelsen. Røntgen av nakken tatt før konsultasjonen viste ingen fraktur.
**A - Vurdering**  
Nakkesmerter etter bilulykke, forenlig med nakkeforstuing/cervikal forstuing. Ingen fraktur påvist på røntgen. Vedvarende sterke smerter med nevrologiske symptomer oppgitt anamnestisk.
**P - Plan**  
Bestiller MR av nakken for videre utredning. Konservativ behandling anbefales med is ved hevelse/blåmerker og øvelser for nakkebevegelighet. Oppstart Robaxin 1500 mg hver 6.–8. time. Ved utilstrekkelig effekt kan varmepute/topikale midler forsøkes. Henvisning til fysioterapi og eventuelt videre til smertebehandling/pain clinic for vurdering av lokal injeksjonsbehandling. Pasienten får sykmelding/fri fra arbeid inntil videre i påvente av MR-svar.</t>
  </si>
  <si>
    <t>S - Subjektive opplysninger:
- Oppsøker for nakkesmerter etter bilulykke i februar i år, med smerter siden da.
- Oppgir svært sterke nakkesmerter, beskrevet som skarpe og invalidiserende, med stivhet og at han ikke kan arbeide.
- Oppgir hodepine, tidvis svimmelhet, nummenhet i venstre arm og høyre ben, spasmer og tretthet siden ulykken.
- Benekter nylige synsforstyrrelser.
- Oppgir tidligere flere bilulykker, tidligere fysioterapi over noen måneder etter en tidligere ulykke, og kirurgi etter en tredje ulykke. Oppgir også tidligere oppfølging ved smerteklinikk.
- Opplyser at han nylig har brukt fentanyl, men ikke hatt resept de siste ukene.
O - Objektive opplysninger:
- Ved undersøkelse ømhet ved palpasjon både over cervicale benete strukturer og muskulatur.
- Moderat bevegelsesutslag i nakken; smerter ved sidebevegelse samt ved fleksjon og ekstensjon.
- Ingen synlig blåmerking, hevelse eller laserasjon ved dagens undersøkelse.
- Røntgen tatt før konsultasjonen: legen opplyser at det ikke ses fraktur.
A - Vurdering:
- Nakkesmerter etter bilulykke i februar. Røntgen uten påvist fraktur.
- Legen vurderer tilstanden som nakkeforstuing.
- På grunn av vedvarende sterke smerter og pasientens bekymring planlegges videre bildediagnostikk med MR.
P - Plan:
- Bestille MR av nakken for videre vurdering.
- Konservativ behandling: is ved opplevd hevelse/blåmerking, samt øvelser som gis på ark og anbefales gjennomført hver morgen.
- Starte Robaxin 1500 mg hver 6.–8. time.
- Dersom utilstrekkelig effekt av Robaxin, råd om varmepute eller lokale midler som Icy Hot/Biofreeze.
- Henvisning til fysioterapi.
- Ved fortsatt kompliserte smerter kan henvisning til smertemedisin vurderes, inkludert mulig lokal injeksjonsbehandling.
- Sykmelding/fri fra arbeid inntil videre i påvente av MR-svar.</t>
  </si>
  <si>
    <t>S - Subjektive opplysninger:
- Oppsøker for nakkesmerter etter bilulykke, oppgir at siste ulykke var i februar i år og at nakkesmertene har vært til stede siden da.
- Oppgir svært sterke smerter, beskrevet som skarpe og invalidiserende, med stivhet og smerter ved bevegelse av nakken. Sier at han ikke kan arbeide slik det er nå.
- Oppgir hodepine, tidvis svimmelhet, ingen nylige synsforstyrrelser.
- Oppgir nummenhet i venstre arm og høyre ben, samt spasmer. Oppgir også tretthet siden ulykken.
- Opplyser om tidligere bilulykker, tidligere terapi og at han etter en tidligere ulykke hadde kirurgi. Har vært ved smerteklinikk og oppgir tidligere behandling med fentanyl, men ingen resept de siste ukene.
O - Objektive opplysninger:
- Ved undersøkelse ømhet ved palpasjon både over midtlinje/benyttet struktur i nakken og lateralt i muskulaturen.
- Legen observerer moderat bevegelsesutslag side til side; pasienten oppgir smerter ved fleksjon og ekstensjon.
- Ingen synlig blåmerker, hevelse eller sår/lacerasjon ved dagens undersøkelse.
- Røntgen tatt før konsultasjonen: legen opplyser at det ikke ses fraktur.
A - Vurdering:
- Nakkesmerter etter bilulykke i februar. Røntgen uten påvist fraktur.
- Legen vurderer tilstanden som nakkeforstuing/neck sprain.
- Videre billeddiagnostikk planlegges med MR for nærmere vurdering.
P - Plan:
- Bestille MR av nakken.
- Konservativ behandling anbefales: is ved opplevd hevelse/blåmerker, øvelser hjemme hver morgen etter utdelt ark.
- Starte Robaxin 1500 mg hver 6.–8. time.
- Dersom utilstrekkelig effekt av Robaxin, råd om varmepute eller lokale midler som IcyHot/Biofreeze.
- Henvisning til fysioterapi.
- Ved vedvarende/kompliserte smerter kan henvisning til smertemedisin vurderes, inkludert mulig lokale injeksjoner etter MR-svar.
- Sykmelding/fri fra arbeid inntil videre i påvente av MR-resultat.</t>
  </si>
  <si>
    <t>S - Subjektive opplysninger:
- Oppsøker for nakkesmerter etter bilulykke, oppgir at siste ulykke var i februar i år og at nakkesmertene har vært til stede siden da.
- Oppgir svært sterke smerter, beskrevet som skarpe og «inkapasiterende», samt at han ikke kan arbeide på grunn av smertene.
- Oppgir stivhet og smerter ved bevegelse av nakken.
- Oppgir hodepine, tidvis svimmelhet, ingen nylige synsforstyrrelser.
- Oppgir nummenhet i venstre arm og høyre ben, samt spasmer. Oppgir også tretthet siden ulykken.
- Tidligere opplyst om flere bilulykker; pasienten sier at han etter en tidligere ulykke gikk i terapi i noen måneder, og etter en tredje ulykke hadde kirurgi. Detaljer og tidspunkt uklare.
- Oppgir tidligere behandling ved smerteklinikk og at han nylig har brukt fentanyl, men ikke hatt resept de siste ukene.
O - Objektive opplysninger:
- Ved undersøkelse ømhet ved palpasjon både over cervicale benete strukturer og paracervikal muskulatur.
- Legen observerer moderat bevegelsesutslag i nakken; pasienten oppgir smerter ved sidebevegelse samt ved fleksjon og ekstensjon.
- Ingen synlig blåmerking, hevelse eller laserasjon ved dagens undersøkelse.
- Røntgen tatt før konsultasjonen: legen opplyser at det ikke ses fraktur.
A - Vurdering:
- Nakkesmerter etter bilulykke i februar. Basert på klinikk og røntgen uten påvist fraktur vurderes dette som nakkeforstuing.
- Vedvarende sterke smerter og nevrologiske symptomer oppgis av pasienten; videre billeddiagnostikk planlegges.
P - Plan:
- Bestille MR av nakken for videre vurdering.
- Konservativ behandling anbefales: is ved opplevd hevelse/blåmerking, samt øvelser for nakken hver morgen etter utdelt ark.
- Starte Robaxin 1500 mg hver 6.–8. time.
- Dersom utilstrekkelig effekt av Robaxin, råd om varmepute eller lokale midler som Icy Hot/Biofreeze.
- Henvisning til fysioterapi.
- Ved fortsatt kompliserte smerter kan henvisning til smertemedisin vurderes, inkludert mulighet for lokale injeksjoner etter MR-vurdering.
- Pasienten får sykmelding/fri fra arbeid inntil videre i påvente av MR-svar.</t>
  </si>
  <si>
    <t>S - Subjektive opplysninger:
- Oppsøker for nakkesmerter etter bilulykke. Pasienten oppgir flere tidligere bilulykker, men beskriver at han var bra frem til siste ulykke.
- Siste bilulykke oppgis å ha vært i februar, trolig i år, med nakkesmerter siden da.
- Oppgir svært sterke smerter, skarpe og «inkapasiterende», og sier at han ikke kan arbeide.
- Oppgir stivhet/bevegelsesvansker i nakken, hodepine, tidvis svimmelhet, nummenhet i venstre arm og høyre ben, spasmer og tretthet siden ulykken.
- Benekter nylige synsforstyrrelser.
- Oppgir tidligere behandling ved smerteklinikk og at han tidligere nylig har brukt fentanyl, men ikke fått resept de siste ukene.
- Oppgir tidligere terapi etter en tidligere bilulykke og kirurgi etter en tredje bilulykke.
O - Objektive opplysninger:
- Ved undersøkelse oppgis smerte ved palpasjon både midt over cervicale benstrukturer og lateralt/muskulært.
- Legen observerer moderat bevegelsesutslag side til side. Fremover- og bakoverbøy gjør vondt.
- Ingen synlig blåmerking, hevelse eller laserasjon ved dagens undersøkelse.
- Røntgen tatt før konsultasjonen: legen opplyser at det ikke ses fraktur.
A - Vurdering:
- Nakkesmerter etter bilulykke i februar med betydelige smerteplager og redusert funksjon.
- Foreløpig vurdert som nakkeforstuing basert på klinikk og røntgen uten påvist fraktur.
- Vedvarende sterke smerter og nevrologiske symptomer rapporteres av pasienten; videre billeddiagnostikk planlegges.
P - Plan:
- Bestille MR av nakken for nærmere vurdering.
- Konservativ behandling anbefales: is ved opplevd hevelse/blåmerking og øvelser hjemme hver morgen etter skjema.
- Oppstart Robaxin 1500 mg hver 6.–8. time.
- Dersom utilstrekkelig effekt: kan forsøke varmepute eller lokale smertelindrende midler som Icy Hot/Biofreeze.
- Henvisning til fysioterapi.
- Ved fortsatt kompliserte smerter kan henvisning til smertemedisin vurderes, inkludert mulighet for lokale injeksjoner.
- Ikke fentanyl nå; legen ønsker mer konservativ oppfølging.
- Sykmelding/fri fra arbeid inntil videre i påvente av MR-resultat.</t>
  </si>
  <si>
    <t xml:space="preserve"> 
Noe ordfyll men ok. Får med seg det viktigste. 
Oppgir vansker med å gå. Kan stå på ankelen og gå på den, men det gjør vondt og ankelen kjennes ikke stabil/solid. Er vel ikke direkte det som oppgis i transkripsjonen...
Burde vært: "Ustabil fraktur basert på  rtx og pasientens opplevelse av instabilitet"
Info er plassert under riktig overskrifter. 
Legen vurderer.... (rart i legenotat)
Oversettelse til norsk, se kommentarer tidligere
Naturlig med flere forkortelser. </t>
  </si>
  <si>
    <t xml:space="preserve">
Fremstår ganske lik som eksemplet over. Noe mindre meningsglidning i denne. Ordrikt notat, men får med seg det som er viktig. 
Siste setning under O inneholder en vurdering. 
Liker setningen: Basert på røntgen og opplevd instabilitet vurderes frakturen som ustabil. 
Laterealt over ankelen kan misfoståes, men det er flisespikkeri. På lateralsiden av ankelen er bedre.
Sies ikke eksplisitt i transkriptet at medikamentet er mot smerter/hevelse. Dog er det korrekt at Medikamentet er et antiinflamatorisk legemiddel (NSAID) som fungerer som smertestillende og kan redusere hevelse. Men viktigste tiltak mot hevelse i en akuttsetting her er hevelse av bein og ising. 
Fortsatt noe vanskeligheter med god oversettelse til norsk (Brisk/oblique/rulle). Bruker ikke ordet Solid, det er bra.  
Fortsatt rart med følgende uttalse: Legen vurderer....
</t>
  </si>
  <si>
    <r>
      <t xml:space="preserve">Fremstår mer presist, ikke like ordrik. 
Flisespikkeri, men skulle gjerne sett at det på vurdering står: Vurdert som noe ustabil ut i fra lokalisasjon/stilling </t>
    </r>
    <r>
      <rPr>
        <b/>
        <sz val="11"/>
        <color theme="1"/>
        <rFont val="Calibri"/>
        <family val="2"/>
        <scheme val="minor"/>
      </rPr>
      <t>på rtx</t>
    </r>
    <r>
      <rPr>
        <sz val="11"/>
        <color theme="1"/>
        <rFont val="Calibri"/>
        <family val="2"/>
        <scheme val="minor"/>
      </rPr>
      <t xml:space="preserve"> noe som også samsvarer med pasientesns opplevelse av instabilitet ved belastning. 
Fortsatt noe vanskeligheter med god oversettelse til norsk, men bedre (Brisk/oblique + Bruker ikke ord som "rulle"). Ordet solid ville ikke vært brukt. 
Fortsatt rart med følgende uttalse: Legen vurderer....
I et faktisk legenotat er det naturlig å bruke mer forkortelser. 
</t>
    </r>
  </si>
  <si>
    <r>
      <rPr>
        <sz val="8"/>
        <color theme="1"/>
        <rFont val="Calibri"/>
        <family val="2"/>
        <scheme val="minor"/>
      </rPr>
      <t>Overordnet: 
- Ordrikt notat. Får med seg det som er verdt å nevne.
Generelt kunne formuleringene vært mer "to the point". Noe av informasjonen er ikke relevant nok til at det må stå i et legenotat. f.eks: Ønsker å komme tilbake til trening: opplyser også at han skal være trener fra april. Ville holdt å beskrevet ham som 45 år gammel, aktiv mann med traumatisk ankelvridning.
"Legen vurderer at...." Snodig i et legenotat. I tillegg er denne plassert under "objektive opplysninger" og ikke under overskriften "vurdering".  
- Noe meningsglidning: Eks:  Legen vurderer fraktuern som noe ustabil basert på stilling. Basert på stilling, hva betyr det? Stilling ved klinisk undersøkelse, stilling på røntgenbilder, følelse av instabilitet?. Man forstår hva som menes når man leser hele notatet, men kunne vært mer eksplisitt skrevet hva som menes. Kan misforstås som feilstilling ved klinisk undersøkelse som ofte er mer alvorlig og kan måtte opereres hurtig. 
Lateralt over ankelen = over kan bety ovenfor. forståelig men kan mistolkes. VIlle beskrevet det som: Uttalt ømhet lateralt hø. ankel. 
Sies ikke eksplisitt i transkriptet at medikamentet er mot smerter/hevelse. Dog er det korrekt at Medikamentet er et antiinflamatorisk legemiddel (NSAID) som fungerer som smertestillende og kan redusere hevelse. Men viktigste tiltak mot hevelse i en akuttsetting her er hevelse av bein og ising. 
- Klarer ikke alltid oversette til riktig norsk medisinsk terminologi, selvom det er stort sett er forståelig det som står. Eksempler på dette: 
Oblique: Skrå. 
Brisk = hurtig/rask?  "Brisk" Ville aldri vært brukt i et norsk medisinsk notat, kan si hurtig kapillærfylning, men det vanligste vil vært å si: normal kapillærfylning. 
Ustabilt/ikke solid: "Ikke solid" vil være en svært uvanlig beskrivelse på norsk. 
"vridde/rullet høyre ankel--&gt; Unaturlig formulering. Vrikket ankelen, tråkket over ville vært mer naturlig.   
Leger bruker generelt mer forkortelser: 
Eksempler på dette: 
Røntgen: rtx, pasienten = pas. Venstre = ve. Høyre = hø</t>
    </r>
    <r>
      <rPr>
        <sz val="11"/>
        <color theme="1"/>
        <rFont val="Calibri"/>
        <family val="2"/>
        <scheme val="minor"/>
      </rPr>
      <t xml:space="preserve">. </t>
    </r>
    <r>
      <rPr>
        <sz val="8"/>
        <color theme="1"/>
        <rFont val="Calibri"/>
        <family val="2"/>
        <scheme val="minor"/>
      </rPr>
      <t xml:space="preserve">klinisk undersøkelse = klinisk us: 
</t>
    </r>
    <r>
      <rPr>
        <sz val="11"/>
        <color theme="1"/>
        <rFont val="Calibri"/>
        <family val="2"/>
        <scheme val="minor"/>
      </rPr>
      <t xml:space="preserve">
</t>
    </r>
    <r>
      <rPr>
        <sz val="8"/>
        <color theme="1"/>
        <rFont val="Calibri"/>
        <family val="2"/>
        <scheme val="minor"/>
      </rPr>
      <t xml:space="preserve">Obs! grundighet vurdert til 5. Den er grundig, men har også med seg ordrik informasjon som ikke er så relevant. </t>
    </r>
    <r>
      <rPr>
        <sz val="11"/>
        <color theme="1"/>
        <rFont val="Calibri"/>
        <family val="2"/>
        <scheme val="minor"/>
      </rPr>
      <t xml:space="preserve">
</t>
    </r>
  </si>
  <si>
    <t xml:space="preserve">Godt notat. Følelsen av et klinisk legenotat basert på språket. F.eks palpasjonsømhet. To the pont.  Ingen "lege vurderer" -setninger. Riktig oppsett og info under hovedoverskrifter er plassert riktig. 
Sies ikke i transkrpitet at medisin er mot smerter og hevelse. Kun hevelse er nevnt i transpkriptet. Men det er korrekt at medikamentet er smertelindrede og kan bidra med å dempe hevelse. dog viktigst elevajson og is for å dempe hevelse.
Fortsatt noe vansker med oversettelse til god norsk. 
Liker dette notatet best
</t>
  </si>
  <si>
    <t>Mye av det samme som går igjen. Får med seg det meste her også og vil gi klinisk nytte. Litt strammere enn de som er åpenbart mer ordrike.
Sies ikke i transkrpitet at medisin er mot smerter og hevelse. Men det er korrekt at medikamentet er smertelindrede og kan bidra med å dempe hevelse. dog viktigst elevajson og is for å dempe hevelse. 
ømhet over ankelen, oversettelse til norsk, legen vurderer...</t>
  </si>
  <si>
    <t xml:space="preserve">Oppleves som litt mer ordrik enn den over. Ganske to the point. Og litt mindre klinisk språk enn den over.  God og gir klar klinisk nytteværdi.
Mye av det samme mtp norsk språk, forkortelser 
Sies ikke i transkrpitet at medisin er mot smerter og hevelse. Kun hevelse er nevnt i transpkriptet. Men det er korrekt at medikamentet er smertelindrede og kan bidra med å dempe hevelse. dog viktigst elevajson og is for å dempe hevelse
Til sist en kommentar som gjelder alt: På toppnivå er det vanskelig å skille de basert på scoringskriteriene. Jeg vil likevel si at G er best selvom den ikke skiller seg ut poengmessig fra H og C. Dette grunnet flyt, språk og veldig to the point. vil generere svært lite etterarbeid. </t>
  </si>
  <si>
    <t xml:space="preserve">Fremstår ganske lik som sammendrag B
Litt mindre ordrikt kanskje. Får med seg det som er viktig. 
Liker at den ikke har med seg vurdering under "O"
Laterealt over ankelen kan misfoståes, men det er flisespikkeri. På lateralsiden av ankelen er bedre, 
Fortsatt noe vanskeligheter med god oversettelse til norsk (Brisk/oblique/rulle). Bruker ordet solid.  
Fortsatt rart med følgende uttalse: Legen vurderer....
Sies ikke eksplisitt i transkriptet at medikamentet er mot smerter/hevelse. Dog er det korrekt at Medikamentet er et antiinflamatorisk legemiddel (NSAID) som fungerer som smertestillende og kan redusere hevelse. Men viktigste tiltak mot hevelse i en akuttsetting her er hevelse av bein og ising. </t>
  </si>
  <si>
    <t xml:space="preserve">Vanskelig konsultasjon for lege dette. Og relativt kaotisk samtale.  
Pasienten fremstår usikker rundt tidspunkt for siste krasj ([patient] what year it was which february it was). Notatet fremstår mer sikkert enn det er. 
Enkelte setninger i notatet står under feil overskift, eks: "men dette var ikke tilstede under dagens undersøkelse" står under S. 
midtlinje/benyttet --&gt; beinete strukturer i midtlinjen. 
Stivet ikke bekreftet eksplisitt av pasient i transkripsjonen. Pas svarer i transkriptet "Yes, but it hurts", så man vet ikke helt om pasienten mener det er stivt.  
Pasienten oppgir ikke selv fatigue under S. Svarer bare bekreftene på fatigue og tired, så ikke eksplisitt sagt av pasient. [patient] well since the accident yes.
Bekrefter at det noen ganger "bruices", er ikke det samme som hevelse. usikkert hva pas egentlig mener her 
Overordnet: For ordrik. Flere tolkninger i notatet. Noe er feil oversettinger
</t>
  </si>
  <si>
    <t xml:space="preserve">S - Subjektive opplysninger:
- Oppsøker for nakkesmerter etter bilulykke i februar i år, med smerter siden da.
- Oppgir svært sterke smerter, beskrevet som skarpe og «inkapasiterende», med stivhet og at han ikke kan arbeide.
- Oppgir hodepine, tidvis svimmelhet, nummenhet i venstre arm og høyre ben, spasmer og tretthet siden ulykken.
- Benekter nylige synsforstyrrelser.
- Oppgir tidligere flere bilulykker; etter en tidligere ulykke gikk han i terapi i noen måneder, og etter en annen hadde han kirurgi. Detaljer uklare.
- Oppgir tidligere behandling ved smerteklinikk og at han nylig har brukt fentanyl, men ikke fått resept de siste ukene.
O - Objektive opplysninger:
- Ved undersøkelse ømhet ved palpasjon både over midtlinje/benyttet i nakken og lateralt i muskulaturen.
- Moderat bevegelsesutslag i nakken observert; pasienten oppgir smerter ved sidebevegelse samt ved fleksjon og ekstensjon.
- Ingen synlig blåmerking, hevelse eller laserasjon ved dagens undersøkelse.
- Røntgen tatt før konsultasjonen: legen opplyser at det ikke ses fraktur.
A - Vurdering:
- Nakkesmerter etter bilulykke, vurdert som nakkeforstuing ut fra klinikk og røntgen uten synlig fraktur.
- Vedvarende sterke smerter og nevrologiske symptomer rapportert av pasienten. Videre bildediagnostikk planlegges.
P - Plan:
- Bestille MR av nakken for videre avklaring.
- Konservativ behandling: is ved opplevd hevelse/blåmerking, øvelser hjemme hver morgen, og ved manglende effekt av Robaxin kan varmepute eller lokale midler som Icy Hot/Biofreeze forsøkes.
- Starte Robaxin 1500 mg hver 6.–8. time.
- Henvisning til fysioterapi.
- Ved fortsatt kompliserte smerter kan henvisning til smertemedisin vurderes, inkludert mulig lokal injeksjonsbehandling etter MR-svar.
- Får sykmelding/fri fra arbeid inntil </t>
  </si>
  <si>
    <t xml:space="preserve">Pasienten fremstår usikker rundt tidspunkt for siste krasj ([patient] what year it was which february it was). Notatet fremstår mer sikkert enn det er. 
Inkapasiterende?? Dårlig oversettelse. 
Liker at det står eksplisitt: detaljer uklare
Stivet ikke bekreftet eksplisitt av pasient i transkripsjonen. Pas svarer i transkriptet "Yes, but it hurts", så man vet ikke helt om pasienten mener det er stivt.  
midtlinje/benyttet --&gt; beinete strukturer i midtlinjen. 
 "Ved undersøkelse ømhet ved palpasjon både over midtlinje/benyttet i nakken og lateralt i muskulaturen.", skulle vært beskrevet som "bilateralt", altså på begge sider. sier du bare lateralt, betyr det på den ene siden
Overordnet: For ordrik. Flere tolkninger i notatet. Noe er feil oversettinger, men litt bedre enn A.
</t>
  </si>
  <si>
    <t>Pasienten fremstår usikker rundt tidspunkt for siste krasj ([patient] what year it was which february it was). Notatet fremstår mer sikkert enn det er. 
Stivet ikke bekreftet eksplisitt av pasient i transkripsjonen. Pas svarer i transkriptet "Yes, but it hurts", så man vet ikke helt om pasienten mener det er stivt.  
Ved undersøkelse oppgis smerte ved palpasjon både midt over cervicale benete strukturer og lateralt i muskulaturen. (skulle vært bilateralt)</t>
  </si>
  <si>
    <t>Burde vært lagt vekt på mer usikkerhet rundt faktisk krasj tidspunkt etter min mening
Ingen opplysninger i transkriptet om legevakt, er det det?
Særlig smerter ved ekstensjon og fleksjon? Hmm, ikke eksplisitt. 
Alt i alt godt notat</t>
  </si>
  <si>
    <t>Burde vært lagt vekt på mer usikkerhet rundt faktisk krasj tidspunkt etter min mening
Stivet ikke bekreftet eksplisitt av pasient i transkripsjonen. Pas svarer i transkriptet "Yes, but it hurts", så man vet ikke helt om pasienten mener det er stivt. 
in therapy for noen måneder siden.. Blir oversatt til fysioterapi.
Alt i alt godt notat. litt mer ordrik og oppstykket enn forrige</t>
  </si>
  <si>
    <t xml:space="preserve">Bedre håndtering av usikkerheter her. Oppgir gir rom for å tenke at det er ikke sikkert dette stemmer. 
</t>
  </si>
  <si>
    <t xml:space="preserve">Burde vært lagt vekt på mer usikkerhet rundt faktisk krasj tidspunkt etter min mening
Stivet ikke bekreftet eksplisitt av pasient i transkripsjonen. Pas svarer i transkriptet "Yes, but it hurts", så man vet ikke helt om pasienten mener det er stivt. </t>
  </si>
  <si>
    <t xml:space="preserve">«inkapasiterende»
Stivhet
noe ordrik, 
generelt: gjelder alle notatene. Kan ha flere forkortelser som er vanlig å bruke innenfor medisinsk journalnotater.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</si>
</sst>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name val="Calibri"/>
      <family val="2"/>
    </font>
    <font>
      <sz val="11"/>
      <color rgb="FF595959"/>
      <name val="Calibri"/>
      <family val="2"/>
    </font>
    <font>
      <b/>
      <sz val="13"/>
      <name val="Calibri"/>
      <family val="2"/>
    </font>
    <font>
      <b/>
      <sz val="11"/>
      <name val="Calibri"/>
      <family val="2"/>
    </font>
    <font>
      <b/>
      <sz val="11"/>
      <color rgb="FFFFFFFF"/>
      <name val="Calibri"/>
      <family val="2"/>
    </font>
    <font>
      <i/>
      <sz val="11"/>
      <color rgb="FF595959"/>
      <name val="Calibri"/>
      <family val="2"/>
    </font>
    <font>
      <i/>
      <sz val="11"/>
      <name val="Calibri"/>
      <family val="2"/>
    </font>
    <font>
      <b/>
      <sz val="14"/>
      <name val="Calibri"/>
      <family val="2"/>
    </font>
    <font>
      <sz val="8"/>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D9E1F2"/>
        <bgColor rgb="FFD9E1F2"/>
      </patternFill>
    </fill>
    <fill>
      <patternFill patternType="solid">
        <fgColor rgb="FF305496"/>
        <bgColor rgb="FF305496"/>
      </patternFill>
    </fill>
    <fill>
      <patternFill patternType="solid">
        <fgColor rgb="FF1F4E78"/>
        <bgColor rgb="FF1F4E78"/>
      </patternFill>
    </fill>
    <fill>
      <patternFill patternType="solid">
        <fgColor rgb="FFFFF2CC"/>
        <bgColor rgb="FFFFF2CC"/>
      </patternFill>
    </fill>
    <fill>
      <patternFill patternType="solid">
        <fgColor rgb="FFEDEDED"/>
        <bgColor rgb="FFEDEDED"/>
      </patternFill>
    </fill>
    <fill>
      <patternFill patternType="solid">
        <fgColor rgb="FFE2EFDA"/>
        <b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3" fillId="0" borderId="0" xfId="0" applyFont="1"/>
    <xf numFmtId="0" fontId="4" fillId="2" borderId="1" xfId="0" applyFont="1" applyFill="1" applyBorder="1" applyAlignment="1">
      <alignment horizontal="center" vertical="center"/>
    </xf>
    <xf numFmtId="0" fontId="0" fillId="0" borderId="1" xfId="0" applyBorder="1"/>
    <xf numFmtId="0" fontId="0" fillId="0" borderId="1" xfId="0" applyBorder="1" applyAlignment="1">
      <alignment horizontal="center"/>
    </xf>
    <xf numFmtId="0" fontId="4" fillId="2" borderId="1" xfId="0" applyFont="1" applyFill="1" applyBorder="1" applyAlignment="1">
      <alignment horizontal="center"/>
    </xf>
    <xf numFmtId="0" fontId="0" fillId="0" borderId="0" xfId="0" applyAlignment="1">
      <alignment vertical="top" wrapText="1"/>
    </xf>
    <xf numFmtId="0" fontId="5" fillId="3" borderId="1" xfId="0" applyFont="1" applyFill="1" applyBorder="1" applyAlignment="1">
      <alignment horizontal="center" vertical="center" wrapText="1"/>
    </xf>
    <xf numFmtId="0" fontId="4" fillId="2" borderId="1" xfId="0" applyFont="1" applyFill="1" applyBorder="1" applyAlignment="1">
      <alignment vertical="center" wrapText="1"/>
    </xf>
    <xf numFmtId="0" fontId="0" fillId="2" borderId="1" xfId="0" applyFill="1" applyBorder="1" applyAlignment="1">
      <alignment horizontal="center" vertical="center" wrapText="1"/>
    </xf>
    <xf numFmtId="0" fontId="0" fillId="0" borderId="1" xfId="0" applyBorder="1" applyAlignment="1">
      <alignment vertical="top" wrapText="1"/>
    </xf>
    <xf numFmtId="0" fontId="3" fillId="0" borderId="0" xfId="0" applyFont="1" applyAlignment="1">
      <alignment vertical="top" wrapText="1"/>
    </xf>
    <xf numFmtId="0" fontId="5" fillId="4" borderId="1" xfId="0" applyFont="1" applyFill="1"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left" vertical="top" wrapText="1"/>
    </xf>
    <xf numFmtId="0" fontId="0" fillId="5" borderId="1" xfId="0" applyFill="1" applyBorder="1" applyAlignment="1">
      <alignment horizontal="center" vertical="center" wrapText="1"/>
    </xf>
    <xf numFmtId="0" fontId="4" fillId="6" borderId="1" xfId="0" applyFont="1" applyFill="1" applyBorder="1" applyAlignment="1">
      <alignment horizontal="center" vertical="center" wrapText="1"/>
    </xf>
    <xf numFmtId="0" fontId="0" fillId="7" borderId="1" xfId="0" applyFill="1" applyBorder="1" applyAlignment="1">
      <alignment horizontal="left" vertical="top" wrapText="1"/>
    </xf>
    <xf numFmtId="0" fontId="4" fillId="0" borderId="0" xfId="0" applyFont="1" applyAlignment="1">
      <alignment horizontal="right" vertical="center"/>
    </xf>
    <xf numFmtId="0" fontId="2" fillId="0" borderId="0" xfId="0" applyFont="1"/>
    <xf numFmtId="0" fontId="0" fillId="0" borderId="0" xfId="0"/>
    <xf numFmtId="0" fontId="8" fillId="0" borderId="0" xfId="0" applyFont="1"/>
    <xf numFmtId="0" fontId="1" fillId="0" borderId="0" xfId="0" applyFont="1"/>
    <xf numFmtId="0" fontId="0" fillId="0" borderId="0" xfId="0" applyAlignment="1">
      <alignment horizontal="left" vertical="center" wrapText="1"/>
    </xf>
    <xf numFmtId="0" fontId="3" fillId="0" borderId="0" xfId="0" applyFont="1"/>
    <xf numFmtId="0" fontId="6" fillId="0" borderId="1" xfId="0" applyFont="1" applyBorder="1" applyAlignment="1">
      <alignment vertical="top" wrapText="1"/>
    </xf>
    <xf numFmtId="0" fontId="0" fillId="0" borderId="2" xfId="0" applyBorder="1"/>
    <xf numFmtId="0" fontId="0" fillId="0" borderId="3" xfId="0" applyBorder="1"/>
    <xf numFmtId="0" fontId="7"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3"/>
  <sheetViews>
    <sheetView workbookViewId="0"/>
  </sheetViews>
  <sheetFormatPr defaultRowHeight="14.25" x14ac:dyDescent="0.45"/>
  <cols>
    <col min="1" max="1" width="4" customWidth="1"/>
    <col min="2" max="2" width="32" customWidth="1"/>
    <col min="3" max="3" width="80" customWidth="1"/>
    <col min="4" max="4" width="18" customWidth="1"/>
  </cols>
  <sheetData>
    <row r="1" spans="2:4" ht="21" x14ac:dyDescent="0.65">
      <c r="B1" s="22" t="s">
        <v>0</v>
      </c>
      <c r="C1" s="20"/>
      <c r="D1" s="20"/>
    </row>
    <row r="2" spans="2:4" x14ac:dyDescent="0.45">
      <c r="B2" s="19" t="s">
        <v>1</v>
      </c>
      <c r="C2" s="20"/>
      <c r="D2" s="20"/>
    </row>
    <row r="4" spans="2:4" ht="16.899999999999999" x14ac:dyDescent="0.5">
      <c r="B4" s="1" t="s">
        <v>2</v>
      </c>
    </row>
    <row r="5" spans="2:4" ht="28.05" customHeight="1" x14ac:dyDescent="0.45">
      <c r="B5" s="23" t="s">
        <v>3</v>
      </c>
      <c r="C5" s="20"/>
      <c r="D5" s="20"/>
    </row>
    <row r="6" spans="2:4" ht="28.05" customHeight="1" x14ac:dyDescent="0.45">
      <c r="B6" s="23" t="s">
        <v>4</v>
      </c>
      <c r="C6" s="20"/>
      <c r="D6" s="20"/>
    </row>
    <row r="7" spans="2:4" ht="28.05" customHeight="1" x14ac:dyDescent="0.45">
      <c r="B7" s="23" t="s">
        <v>5</v>
      </c>
      <c r="C7" s="20"/>
      <c r="D7" s="20"/>
    </row>
    <row r="8" spans="2:4" ht="28.05" customHeight="1" x14ac:dyDescent="0.45">
      <c r="B8" s="23" t="s">
        <v>6</v>
      </c>
      <c r="C8" s="20"/>
      <c r="D8" s="20"/>
    </row>
    <row r="9" spans="2:4" ht="28.05" customHeight="1" x14ac:dyDescent="0.45">
      <c r="B9" s="23" t="s">
        <v>7</v>
      </c>
      <c r="C9" s="20"/>
      <c r="D9" s="20"/>
    </row>
    <row r="10" spans="2:4" ht="28.05" customHeight="1" x14ac:dyDescent="0.45">
      <c r="B10" s="23" t="s">
        <v>8</v>
      </c>
      <c r="C10" s="20"/>
      <c r="D10" s="20"/>
    </row>
    <row r="11" spans="2:4" ht="28.05" customHeight="1" x14ac:dyDescent="0.45">
      <c r="B11" s="23" t="s">
        <v>9</v>
      </c>
      <c r="C11" s="20"/>
      <c r="D11" s="20"/>
    </row>
    <row r="13" spans="2:4" ht="16.899999999999999" x14ac:dyDescent="0.5">
      <c r="B13" s="24" t="s">
        <v>10</v>
      </c>
      <c r="C13" s="20"/>
      <c r="D13" s="20"/>
    </row>
    <row r="14" spans="2:4" x14ac:dyDescent="0.45">
      <c r="B14" s="2" t="s">
        <v>11</v>
      </c>
      <c r="C14" s="2" t="s">
        <v>12</v>
      </c>
      <c r="D14" s="2" t="s">
        <v>13</v>
      </c>
    </row>
    <row r="15" spans="2:4" x14ac:dyDescent="0.45">
      <c r="B15" s="3" t="s">
        <v>14</v>
      </c>
      <c r="C15" s="3" t="s">
        <v>15</v>
      </c>
      <c r="D15" s="4" t="s">
        <v>16</v>
      </c>
    </row>
    <row r="16" spans="2:4" x14ac:dyDescent="0.45">
      <c r="B16" s="3" t="s">
        <v>17</v>
      </c>
      <c r="C16" s="3" t="s">
        <v>18</v>
      </c>
      <c r="D16" s="4" t="s">
        <v>16</v>
      </c>
    </row>
    <row r="17" spans="2:4" x14ac:dyDescent="0.45">
      <c r="B17" s="3" t="s">
        <v>19</v>
      </c>
      <c r="C17" s="3" t="s">
        <v>20</v>
      </c>
      <c r="D17" s="4" t="s">
        <v>16</v>
      </c>
    </row>
    <row r="18" spans="2:4" x14ac:dyDescent="0.45">
      <c r="B18" s="3" t="s">
        <v>21</v>
      </c>
      <c r="C18" s="3" t="s">
        <v>22</v>
      </c>
      <c r="D18" s="4" t="s">
        <v>16</v>
      </c>
    </row>
    <row r="20" spans="2:4" ht="16.899999999999999" x14ac:dyDescent="0.5">
      <c r="B20" s="24" t="s">
        <v>23</v>
      </c>
      <c r="C20" s="20"/>
      <c r="D20" s="20"/>
    </row>
    <row r="21" spans="2:4" x14ac:dyDescent="0.45">
      <c r="B21" s="5" t="s">
        <v>24</v>
      </c>
      <c r="C21" s="5" t="s">
        <v>25</v>
      </c>
    </row>
    <row r="22" spans="2:4" x14ac:dyDescent="0.45">
      <c r="B22" s="3" t="s">
        <v>26</v>
      </c>
      <c r="C22" s="4">
        <v>8</v>
      </c>
    </row>
    <row r="23" spans="2:4" x14ac:dyDescent="0.45">
      <c r="B23" s="3" t="s">
        <v>27</v>
      </c>
      <c r="C23" s="4">
        <v>8</v>
      </c>
    </row>
  </sheetData>
  <mergeCells count="11">
    <mergeCell ref="B20:D20"/>
    <mergeCell ref="B10:D10"/>
    <mergeCell ref="B11:D11"/>
    <mergeCell ref="B5:D5"/>
    <mergeCell ref="B1:D1"/>
    <mergeCell ref="B8:D8"/>
    <mergeCell ref="B9:D9"/>
    <mergeCell ref="B13:D13"/>
    <mergeCell ref="B7:D7"/>
    <mergeCell ref="B6:D6"/>
    <mergeCell ref="B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14"/>
  <sheetViews>
    <sheetView topLeftCell="D2" workbookViewId="0">
      <selection activeCell="F11" sqref="F11"/>
    </sheetView>
  </sheetViews>
  <sheetFormatPr defaultRowHeight="14.25" x14ac:dyDescent="0.45"/>
  <cols>
    <col min="1" max="1" width="4" customWidth="1"/>
    <col min="2" max="2" width="28" customWidth="1"/>
    <col min="3" max="3" width="14" customWidth="1"/>
    <col min="4" max="8" width="38" customWidth="1"/>
  </cols>
  <sheetData>
    <row r="1" spans="2:8" ht="21" x14ac:dyDescent="0.65">
      <c r="B1" s="22" t="s">
        <v>28</v>
      </c>
      <c r="C1" s="20"/>
      <c r="D1" s="20"/>
      <c r="E1" s="20"/>
      <c r="F1" s="20"/>
      <c r="G1" s="20"/>
      <c r="H1" s="20"/>
    </row>
    <row r="2" spans="2:8" ht="50" customHeight="1" x14ac:dyDescent="0.45">
      <c r="B2" s="29" t="s">
        <v>29</v>
      </c>
      <c r="C2" s="20"/>
      <c r="D2" s="20"/>
      <c r="E2" s="20"/>
      <c r="F2" s="20"/>
      <c r="G2" s="20"/>
      <c r="H2" s="20"/>
    </row>
    <row r="4" spans="2:8" ht="32" customHeight="1" x14ac:dyDescent="0.45">
      <c r="B4" s="7" t="s">
        <v>30</v>
      </c>
      <c r="C4" s="7" t="s">
        <v>13</v>
      </c>
      <c r="D4" s="7" t="s">
        <v>31</v>
      </c>
      <c r="E4" s="7" t="s">
        <v>32</v>
      </c>
      <c r="F4" s="7" t="s">
        <v>33</v>
      </c>
      <c r="G4" s="7" t="s">
        <v>34</v>
      </c>
      <c r="H4" s="7" t="s">
        <v>35</v>
      </c>
    </row>
    <row r="5" spans="2:8" ht="110" customHeight="1" x14ac:dyDescent="0.45">
      <c r="B5" s="8" t="s">
        <v>14</v>
      </c>
      <c r="C5" s="9" t="s">
        <v>16</v>
      </c>
      <c r="D5" s="10" t="s">
        <v>36</v>
      </c>
      <c r="E5" s="10" t="s">
        <v>37</v>
      </c>
      <c r="F5" s="10" t="s">
        <v>38</v>
      </c>
      <c r="G5" s="10" t="s">
        <v>39</v>
      </c>
      <c r="H5" s="10" t="s">
        <v>40</v>
      </c>
    </row>
    <row r="6" spans="2:8" ht="28.05" customHeight="1" x14ac:dyDescent="0.45">
      <c r="B6" s="25" t="s">
        <v>41</v>
      </c>
      <c r="C6" s="26"/>
      <c r="D6" s="26"/>
      <c r="E6" s="26"/>
      <c r="F6" s="26"/>
      <c r="G6" s="26"/>
      <c r="H6" s="27"/>
    </row>
    <row r="7" spans="2:8" ht="110" customHeight="1" x14ac:dyDescent="0.45">
      <c r="B7" s="8" t="s">
        <v>17</v>
      </c>
      <c r="C7" s="9" t="s">
        <v>16</v>
      </c>
      <c r="D7" s="10" t="s">
        <v>42</v>
      </c>
      <c r="E7" s="10" t="s">
        <v>43</v>
      </c>
      <c r="F7" s="10" t="s">
        <v>44</v>
      </c>
      <c r="G7" s="10" t="s">
        <v>45</v>
      </c>
      <c r="H7" s="10" t="s">
        <v>46</v>
      </c>
    </row>
    <row r="8" spans="2:8" ht="28.05" customHeight="1" x14ac:dyDescent="0.45">
      <c r="B8" s="25" t="s">
        <v>47</v>
      </c>
      <c r="C8" s="26"/>
      <c r="D8" s="26"/>
      <c r="E8" s="26"/>
      <c r="F8" s="26"/>
      <c r="G8" s="26"/>
      <c r="H8" s="27"/>
    </row>
    <row r="9" spans="2:8" ht="110" customHeight="1" x14ac:dyDescent="0.45">
      <c r="B9" s="8" t="s">
        <v>19</v>
      </c>
      <c r="C9" s="9" t="s">
        <v>16</v>
      </c>
      <c r="D9" s="10" t="s">
        <v>48</v>
      </c>
      <c r="E9" s="10" t="s">
        <v>49</v>
      </c>
      <c r="F9" s="10" t="s">
        <v>50</v>
      </c>
      <c r="G9" s="10" t="s">
        <v>51</v>
      </c>
      <c r="H9" s="10" t="s">
        <v>52</v>
      </c>
    </row>
    <row r="10" spans="2:8" ht="28.05" customHeight="1" x14ac:dyDescent="0.45">
      <c r="B10" s="25" t="s">
        <v>53</v>
      </c>
      <c r="C10" s="26"/>
      <c r="D10" s="26"/>
      <c r="E10" s="26"/>
      <c r="F10" s="26"/>
      <c r="G10" s="26"/>
      <c r="H10" s="27"/>
    </row>
    <row r="11" spans="2:8" ht="110" customHeight="1" x14ac:dyDescent="0.45">
      <c r="B11" s="8" t="s">
        <v>21</v>
      </c>
      <c r="C11" s="9" t="s">
        <v>16</v>
      </c>
      <c r="D11" s="10" t="s">
        <v>54</v>
      </c>
      <c r="E11" s="10" t="s">
        <v>55</v>
      </c>
      <c r="F11" s="10" t="s">
        <v>56</v>
      </c>
      <c r="G11" s="10" t="s">
        <v>57</v>
      </c>
      <c r="H11" s="10" t="s">
        <v>58</v>
      </c>
    </row>
    <row r="12" spans="2:8" ht="28.05" customHeight="1" x14ac:dyDescent="0.45">
      <c r="B12" s="25" t="s">
        <v>59</v>
      </c>
      <c r="C12" s="26"/>
      <c r="D12" s="26"/>
      <c r="E12" s="26"/>
      <c r="F12" s="26"/>
      <c r="G12" s="26"/>
      <c r="H12" s="27"/>
    </row>
    <row r="14" spans="2:8" ht="40.049999999999997" customHeight="1" x14ac:dyDescent="0.45">
      <c r="B14" s="28" t="s">
        <v>60</v>
      </c>
      <c r="C14" s="20"/>
      <c r="D14" s="20"/>
      <c r="E14" s="20"/>
      <c r="F14" s="20"/>
      <c r="G14" s="20"/>
      <c r="H14" s="20"/>
    </row>
  </sheetData>
  <mergeCells count="7">
    <mergeCell ref="B8:H8"/>
    <mergeCell ref="B14:H14"/>
    <mergeCell ref="B1:H1"/>
    <mergeCell ref="B12:H12"/>
    <mergeCell ref="B6:H6"/>
    <mergeCell ref="B2:H2"/>
    <mergeCell ref="B10:H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65A5-2528-425C-85D2-DD1D868B57B0}">
  <dimension ref="A1"/>
  <sheetViews>
    <sheetView workbookViewId="0"/>
  </sheetViews>
  <sheetFormatPr defaultRowHeight="14.25" x14ac:dyDescent="0.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74"/>
  <sheetViews>
    <sheetView topLeftCell="A3" workbookViewId="0">
      <selection activeCell="C10" sqref="C10"/>
    </sheetView>
  </sheetViews>
  <sheetFormatPr defaultRowHeight="14.25" x14ac:dyDescent="0.45"/>
  <cols>
    <col min="1" max="1" width="4" customWidth="1"/>
    <col min="2" max="2" width="24" customWidth="1"/>
    <col min="3" max="3" width="110" customWidth="1"/>
  </cols>
  <sheetData>
    <row r="1" spans="2:3" ht="21" x14ac:dyDescent="0.65">
      <c r="B1" s="22" t="s">
        <v>26</v>
      </c>
      <c r="C1" s="20"/>
    </row>
    <row r="2" spans="2:3" x14ac:dyDescent="0.45">
      <c r="B2" s="19" t="s">
        <v>61</v>
      </c>
      <c r="C2" s="20"/>
    </row>
    <row r="4" spans="2:3" ht="33.75" x14ac:dyDescent="0.45">
      <c r="B4" s="11" t="s">
        <v>62</v>
      </c>
    </row>
    <row r="5" spans="2:3" x14ac:dyDescent="0.45">
      <c r="C5" s="6" t="s">
        <v>63</v>
      </c>
    </row>
    <row r="6" spans="2:3" ht="71.25" x14ac:dyDescent="0.45">
      <c r="C6" s="6" t="s">
        <v>64</v>
      </c>
    </row>
    <row r="7" spans="2:3" x14ac:dyDescent="0.45">
      <c r="C7" s="6" t="s">
        <v>65</v>
      </c>
    </row>
    <row r="8" spans="2:3" ht="28.5" x14ac:dyDescent="0.45">
      <c r="C8" s="6" t="s">
        <v>66</v>
      </c>
    </row>
    <row r="9" spans="2:3" x14ac:dyDescent="0.45">
      <c r="C9" s="6" t="s">
        <v>67</v>
      </c>
    </row>
    <row r="10" spans="2:3" x14ac:dyDescent="0.45">
      <c r="C10" s="6" t="s">
        <v>68</v>
      </c>
    </row>
    <row r="11" spans="2:3" ht="28.5" x14ac:dyDescent="0.45">
      <c r="C11" s="6" t="s">
        <v>69</v>
      </c>
    </row>
    <row r="12" spans="2:3" ht="57" x14ac:dyDescent="0.45">
      <c r="C12" s="6" t="s">
        <v>70</v>
      </c>
    </row>
    <row r="13" spans="2:3" ht="28.5" x14ac:dyDescent="0.45">
      <c r="C13" s="6" t="s">
        <v>71</v>
      </c>
    </row>
    <row r="14" spans="2:3" x14ac:dyDescent="0.45">
      <c r="C14" s="6" t="s">
        <v>72</v>
      </c>
    </row>
    <row r="15" spans="2:3" x14ac:dyDescent="0.45">
      <c r="C15" s="6" t="s">
        <v>73</v>
      </c>
    </row>
    <row r="16" spans="2:3" x14ac:dyDescent="0.45">
      <c r="C16" s="6" t="s">
        <v>74</v>
      </c>
    </row>
    <row r="17" spans="3:3" ht="42.75" x14ac:dyDescent="0.45">
      <c r="C17" s="6" t="s">
        <v>75</v>
      </c>
    </row>
    <row r="18" spans="3:3" ht="28.5" x14ac:dyDescent="0.45">
      <c r="C18" s="6" t="s">
        <v>76</v>
      </c>
    </row>
    <row r="19" spans="3:3" x14ac:dyDescent="0.45">
      <c r="C19" s="6" t="s">
        <v>77</v>
      </c>
    </row>
    <row r="20" spans="3:3" x14ac:dyDescent="0.45">
      <c r="C20" s="6" t="s">
        <v>78</v>
      </c>
    </row>
    <row r="21" spans="3:3" ht="114" x14ac:dyDescent="0.45">
      <c r="C21" s="6" t="s">
        <v>79</v>
      </c>
    </row>
    <row r="22" spans="3:3" x14ac:dyDescent="0.45">
      <c r="C22" s="6" t="s">
        <v>80</v>
      </c>
    </row>
    <row r="23" spans="3:3" x14ac:dyDescent="0.45">
      <c r="C23" s="6" t="s">
        <v>81</v>
      </c>
    </row>
    <row r="24" spans="3:3" x14ac:dyDescent="0.45">
      <c r="C24" s="6" t="s">
        <v>82</v>
      </c>
    </row>
    <row r="25" spans="3:3" x14ac:dyDescent="0.45">
      <c r="C25" s="6" t="s">
        <v>83</v>
      </c>
    </row>
    <row r="26" spans="3:3" x14ac:dyDescent="0.45">
      <c r="C26" s="6" t="s">
        <v>84</v>
      </c>
    </row>
    <row r="27" spans="3:3" ht="42.75" x14ac:dyDescent="0.45">
      <c r="C27" s="6" t="s">
        <v>85</v>
      </c>
    </row>
    <row r="28" spans="3:3" x14ac:dyDescent="0.45">
      <c r="C28" s="6" t="s">
        <v>86</v>
      </c>
    </row>
    <row r="29" spans="3:3" ht="28.5" x14ac:dyDescent="0.45">
      <c r="C29" s="6" t="s">
        <v>87</v>
      </c>
    </row>
    <row r="30" spans="3:3" ht="28.5" x14ac:dyDescent="0.45">
      <c r="C30" s="6" t="s">
        <v>88</v>
      </c>
    </row>
    <row r="31" spans="3:3" ht="28.5" x14ac:dyDescent="0.45">
      <c r="C31" s="6" t="s">
        <v>89</v>
      </c>
    </row>
    <row r="32" spans="3:3" x14ac:dyDescent="0.45">
      <c r="C32" s="6" t="s">
        <v>90</v>
      </c>
    </row>
    <row r="33" spans="2:3" x14ac:dyDescent="0.45">
      <c r="C33" s="6" t="s">
        <v>91</v>
      </c>
    </row>
    <row r="36" spans="2:3" ht="33.75" x14ac:dyDescent="0.45">
      <c r="B36" s="11" t="s">
        <v>92</v>
      </c>
    </row>
    <row r="37" spans="2:3" x14ac:dyDescent="0.45">
      <c r="C37" s="6" t="s">
        <v>93</v>
      </c>
    </row>
    <row r="39" spans="2:3" x14ac:dyDescent="0.45">
      <c r="C39" s="6" t="s">
        <v>94</v>
      </c>
    </row>
    <row r="41" spans="2:3" x14ac:dyDescent="0.45">
      <c r="C41" s="6" t="s">
        <v>95</v>
      </c>
    </row>
    <row r="43" spans="2:3" x14ac:dyDescent="0.45">
      <c r="C43" s="6" t="s">
        <v>96</v>
      </c>
    </row>
    <row r="45" spans="2:3" ht="57" x14ac:dyDescent="0.45">
      <c r="C45" s="6" t="s">
        <v>97</v>
      </c>
    </row>
    <row r="47" spans="2:3" x14ac:dyDescent="0.45">
      <c r="C47" s="6" t="s">
        <v>98</v>
      </c>
    </row>
    <row r="49" spans="3:3" ht="28.5" x14ac:dyDescent="0.45">
      <c r="C49" s="6" t="s">
        <v>99</v>
      </c>
    </row>
    <row r="51" spans="3:3" x14ac:dyDescent="0.45">
      <c r="C51" s="6" t="s">
        <v>100</v>
      </c>
    </row>
    <row r="53" spans="3:3" x14ac:dyDescent="0.45">
      <c r="C53" s="6" t="s">
        <v>101</v>
      </c>
    </row>
    <row r="54" spans="3:3" x14ac:dyDescent="0.45">
      <c r="C54" s="6" t="s">
        <v>102</v>
      </c>
    </row>
    <row r="56" spans="3:3" x14ac:dyDescent="0.45">
      <c r="C56" s="6" t="s">
        <v>103</v>
      </c>
    </row>
    <row r="58" spans="3:3" x14ac:dyDescent="0.45">
      <c r="C58" s="6" t="s">
        <v>104</v>
      </c>
    </row>
    <row r="59" spans="3:3" x14ac:dyDescent="0.45">
      <c r="C59" s="6" t="s">
        <v>105</v>
      </c>
    </row>
    <row r="60" spans="3:3" ht="28.5" x14ac:dyDescent="0.45">
      <c r="C60" s="6" t="s">
        <v>106</v>
      </c>
    </row>
    <row r="62" spans="3:3" x14ac:dyDescent="0.45">
      <c r="C62" s="6" t="s">
        <v>107</v>
      </c>
    </row>
    <row r="64" spans="3:3" ht="28.5" x14ac:dyDescent="0.45">
      <c r="C64" s="6" t="s">
        <v>108</v>
      </c>
    </row>
    <row r="66" spans="3:3" x14ac:dyDescent="0.45">
      <c r="C66" s="6" t="s">
        <v>109</v>
      </c>
    </row>
    <row r="68" spans="3:3" x14ac:dyDescent="0.45">
      <c r="C68" s="6" t="s">
        <v>110</v>
      </c>
    </row>
    <row r="70" spans="3:3" x14ac:dyDescent="0.45">
      <c r="C70" s="6" t="s">
        <v>111</v>
      </c>
    </row>
    <row r="72" spans="3:3" ht="71.25" x14ac:dyDescent="0.45">
      <c r="C72" s="6" t="s">
        <v>112</v>
      </c>
    </row>
    <row r="74" spans="3:3" x14ac:dyDescent="0.45">
      <c r="C74" s="6" t="s">
        <v>113</v>
      </c>
    </row>
  </sheetData>
  <mergeCells count="2">
    <mergeCell ref="B1:C1"/>
    <mergeCell ref="B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tabSelected="1" zoomScale="60" zoomScaleNormal="60" workbookViewId="0">
      <pane xSplit="2" ySplit="5" topLeftCell="C107" activePane="bottomRight" state="frozen"/>
      <selection pane="topRight"/>
      <selection pane="bottomLeft"/>
      <selection pane="bottomRight" activeCell="E11" sqref="E11"/>
    </sheetView>
  </sheetViews>
  <sheetFormatPr defaultRowHeight="14.25" x14ac:dyDescent="0.45"/>
  <cols>
    <col min="1" max="1" width="22" customWidth="1"/>
    <col min="2" max="2" width="80" customWidth="1"/>
    <col min="3" max="7" width="12" customWidth="1"/>
    <col min="8" max="8" width="50" customWidth="1"/>
  </cols>
  <sheetData>
    <row r="1" spans="1:8" ht="18" x14ac:dyDescent="0.55000000000000004">
      <c r="A1" s="21" t="s">
        <v>114</v>
      </c>
      <c r="B1" s="20"/>
      <c r="C1" s="20"/>
      <c r="D1" s="20"/>
      <c r="E1" s="20"/>
      <c r="F1" s="20"/>
      <c r="G1" s="20"/>
      <c r="H1" s="20"/>
    </row>
    <row r="2" spans="1:8" x14ac:dyDescent="0.45">
      <c r="A2" s="19" t="s">
        <v>115</v>
      </c>
      <c r="B2" s="20"/>
      <c r="C2" s="20"/>
      <c r="D2" s="20"/>
      <c r="E2" s="20"/>
      <c r="F2" s="20"/>
      <c r="G2" s="20"/>
      <c r="H2" s="20"/>
    </row>
    <row r="3" spans="1:8" x14ac:dyDescent="0.45">
      <c r="A3" s="19" t="s">
        <v>116</v>
      </c>
      <c r="B3" s="20"/>
      <c r="C3" s="20"/>
      <c r="D3" s="20"/>
      <c r="E3" s="20"/>
      <c r="F3" s="20"/>
      <c r="G3" s="20"/>
      <c r="H3" s="20"/>
    </row>
    <row r="5" spans="1:8" ht="50" customHeight="1" x14ac:dyDescent="0.45">
      <c r="A5" s="12" t="s">
        <v>117</v>
      </c>
      <c r="B5" s="12" t="s">
        <v>118</v>
      </c>
      <c r="C5" s="12" t="s">
        <v>119</v>
      </c>
      <c r="D5" s="12" t="s">
        <v>120</v>
      </c>
      <c r="E5" s="12" t="s">
        <v>121</v>
      </c>
      <c r="F5" s="12" t="s">
        <v>122</v>
      </c>
      <c r="G5" s="12" t="s">
        <v>123</v>
      </c>
      <c r="H5" s="12" t="s">
        <v>124</v>
      </c>
    </row>
    <row r="6" spans="1:8" ht="409.5" customHeight="1" x14ac:dyDescent="0.45">
      <c r="A6" s="13" t="s">
        <v>125</v>
      </c>
      <c r="B6" s="14" t="s">
        <v>126</v>
      </c>
      <c r="C6" s="15">
        <v>4</v>
      </c>
      <c r="D6" s="15">
        <v>3</v>
      </c>
      <c r="E6" s="15">
        <v>5</v>
      </c>
      <c r="F6" s="15">
        <v>3</v>
      </c>
      <c r="G6" s="16">
        <f t="shared" ref="G6:G13" si="0">IF(COUNT(C6:F6)&lt;4,"",ROUND(AVERAGE(C6:F6),2))</f>
        <v>3.75</v>
      </c>
      <c r="H6" s="17" t="s">
        <v>243</v>
      </c>
    </row>
    <row r="7" spans="1:8" ht="409.05" customHeight="1" x14ac:dyDescent="0.45">
      <c r="A7" s="13" t="s">
        <v>127</v>
      </c>
      <c r="B7" s="14" t="s">
        <v>128</v>
      </c>
      <c r="C7" s="15">
        <v>4</v>
      </c>
      <c r="D7" s="15">
        <v>4</v>
      </c>
      <c r="E7" s="15">
        <v>5</v>
      </c>
      <c r="F7" s="15">
        <v>3</v>
      </c>
      <c r="G7" s="16">
        <f t="shared" si="0"/>
        <v>4</v>
      </c>
      <c r="H7" s="17" t="s">
        <v>241</v>
      </c>
    </row>
    <row r="8" spans="1:8" ht="398" customHeight="1" x14ac:dyDescent="0.45">
      <c r="A8" s="13" t="s">
        <v>129</v>
      </c>
      <c r="B8" s="14" t="s">
        <v>130</v>
      </c>
      <c r="C8" s="15">
        <v>5</v>
      </c>
      <c r="D8" s="15">
        <v>4</v>
      </c>
      <c r="E8" s="15">
        <v>5</v>
      </c>
      <c r="F8" s="15">
        <v>5</v>
      </c>
      <c r="G8" s="16">
        <f t="shared" si="0"/>
        <v>4.75</v>
      </c>
      <c r="H8" s="17" t="s">
        <v>242</v>
      </c>
    </row>
    <row r="9" spans="1:8" ht="409.05" customHeight="1" x14ac:dyDescent="0.45">
      <c r="A9" s="13" t="s">
        <v>131</v>
      </c>
      <c r="B9" s="14" t="s">
        <v>132</v>
      </c>
      <c r="C9" s="15">
        <v>4</v>
      </c>
      <c r="D9" s="15">
        <v>4</v>
      </c>
      <c r="E9" s="15">
        <v>5</v>
      </c>
      <c r="F9" s="15">
        <v>4</v>
      </c>
      <c r="G9" s="16">
        <f t="shared" si="0"/>
        <v>4.25</v>
      </c>
      <c r="H9" s="17" t="s">
        <v>247</v>
      </c>
    </row>
    <row r="10" spans="1:8" ht="409.05" customHeight="1" x14ac:dyDescent="0.45">
      <c r="A10" s="13" t="s">
        <v>133</v>
      </c>
      <c r="B10" s="14" t="s">
        <v>134</v>
      </c>
      <c r="C10" s="15">
        <v>4</v>
      </c>
      <c r="D10" s="15">
        <v>3</v>
      </c>
      <c r="E10" s="15">
        <v>5</v>
      </c>
      <c r="F10" s="15">
        <v>4</v>
      </c>
      <c r="G10" s="16">
        <f t="shared" si="0"/>
        <v>4</v>
      </c>
      <c r="H10" s="17" t="s">
        <v>240</v>
      </c>
    </row>
    <row r="11" spans="1:8" ht="409.05" customHeight="1" x14ac:dyDescent="0.45">
      <c r="A11" s="13" t="s">
        <v>135</v>
      </c>
      <c r="B11" s="14" t="s">
        <v>136</v>
      </c>
      <c r="C11" s="15">
        <v>4</v>
      </c>
      <c r="D11" s="15">
        <v>4</v>
      </c>
      <c r="E11" s="15">
        <v>5</v>
      </c>
      <c r="F11" s="15">
        <v>4</v>
      </c>
      <c r="G11" s="16">
        <f t="shared" si="0"/>
        <v>4.25</v>
      </c>
      <c r="H11" s="17" t="s">
        <v>245</v>
      </c>
    </row>
    <row r="12" spans="1:8" ht="353" customHeight="1" x14ac:dyDescent="0.45">
      <c r="A12" s="13" t="s">
        <v>137</v>
      </c>
      <c r="B12" s="14" t="s">
        <v>138</v>
      </c>
      <c r="C12" s="15">
        <v>4</v>
      </c>
      <c r="D12" s="15">
        <v>5</v>
      </c>
      <c r="E12" s="15">
        <v>5</v>
      </c>
      <c r="F12" s="15">
        <v>5</v>
      </c>
      <c r="G12" s="16">
        <f t="shared" si="0"/>
        <v>4.75</v>
      </c>
      <c r="H12" s="17" t="s">
        <v>244</v>
      </c>
    </row>
    <row r="13" spans="1:8" ht="409.05" customHeight="1" x14ac:dyDescent="0.45">
      <c r="A13" s="13" t="s">
        <v>139</v>
      </c>
      <c r="B13" s="14" t="s">
        <v>140</v>
      </c>
      <c r="C13" s="15">
        <v>4</v>
      </c>
      <c r="D13" s="15">
        <v>5</v>
      </c>
      <c r="E13" s="15">
        <v>5</v>
      </c>
      <c r="F13" s="15">
        <v>5</v>
      </c>
      <c r="G13" s="16">
        <f t="shared" si="0"/>
        <v>4.75</v>
      </c>
      <c r="H13" s="17" t="s">
        <v>246</v>
      </c>
    </row>
    <row r="15" spans="1:8" x14ac:dyDescent="0.45">
      <c r="A15" s="18" t="s">
        <v>141</v>
      </c>
      <c r="C15" s="16">
        <f>IF(COUNT(C6:C13)=0,"",ROUND(AVERAGE(C6:C13),2))</f>
        <v>4.13</v>
      </c>
      <c r="D15" s="16">
        <f>IF(COUNT(D6:D13)=0,"",ROUND(AVERAGE(D6:D13),2))</f>
        <v>4</v>
      </c>
      <c r="E15" s="16">
        <f>IF(COUNT(E6:E13)=0,"",ROUND(AVERAGE(E6:E13),2))</f>
        <v>5</v>
      </c>
      <c r="F15" s="16">
        <f>IF(COUNT(F6:F13)=0,"",ROUND(AVERAGE(F6:F13),2))</f>
        <v>4.13</v>
      </c>
      <c r="G15" s="16">
        <f>IF(COUNT(G6:G13)=0,"",ROUND(AVERAGE(G6:G13),2))</f>
        <v>4.3099999999999996</v>
      </c>
    </row>
  </sheetData>
  <mergeCells count="3">
    <mergeCell ref="A3:H3"/>
    <mergeCell ref="A2:H2"/>
    <mergeCell ref="A1:H1"/>
  </mergeCells>
  <dataValidations count="1">
    <dataValidation type="whole" allowBlank="1" errorTitle="Ugyldig verdi" error="Skriv et heltall mellom 1 og 5." promptTitle="Score 1–5" prompt="Heltall 1–5" sqref="C6:F13" xr:uid="{00000000-0002-0000-0300-000000000000}">
      <formula1>1</formula1>
      <formula2>5</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123"/>
  <sheetViews>
    <sheetView topLeftCell="B49" workbookViewId="0">
      <selection activeCell="C77" sqref="C77"/>
    </sheetView>
  </sheetViews>
  <sheetFormatPr defaultRowHeight="14.25" x14ac:dyDescent="0.45"/>
  <cols>
    <col min="1" max="1" width="4" customWidth="1"/>
    <col min="2" max="2" width="24" customWidth="1"/>
    <col min="3" max="3" width="110" customWidth="1"/>
  </cols>
  <sheetData>
    <row r="1" spans="2:3" ht="21" x14ac:dyDescent="0.65">
      <c r="B1" s="22" t="s">
        <v>27</v>
      </c>
      <c r="C1" s="20"/>
    </row>
    <row r="2" spans="2:3" x14ac:dyDescent="0.45">
      <c r="B2" s="19" t="s">
        <v>142</v>
      </c>
      <c r="C2" s="20"/>
    </row>
    <row r="4" spans="2:3" ht="33.75" x14ac:dyDescent="0.45">
      <c r="B4" s="11" t="s">
        <v>62</v>
      </c>
    </row>
    <row r="5" spans="2:3" ht="28.5" x14ac:dyDescent="0.45">
      <c r="C5" s="6" t="s">
        <v>143</v>
      </c>
    </row>
    <row r="6" spans="2:3" x14ac:dyDescent="0.45">
      <c r="C6" s="6" t="s">
        <v>144</v>
      </c>
    </row>
    <row r="7" spans="2:3" x14ac:dyDescent="0.45">
      <c r="C7" s="6" t="s">
        <v>145</v>
      </c>
    </row>
    <row r="8" spans="2:3" x14ac:dyDescent="0.45">
      <c r="C8" s="6" t="s">
        <v>146</v>
      </c>
    </row>
    <row r="9" spans="2:3" x14ac:dyDescent="0.45">
      <c r="C9" s="6" t="s">
        <v>147</v>
      </c>
    </row>
    <row r="10" spans="2:3" ht="28.5" x14ac:dyDescent="0.45">
      <c r="C10" s="6" t="s">
        <v>148</v>
      </c>
    </row>
    <row r="11" spans="2:3" ht="28.5" x14ac:dyDescent="0.45">
      <c r="C11" s="6" t="s">
        <v>149</v>
      </c>
    </row>
    <row r="12" spans="2:3" x14ac:dyDescent="0.45">
      <c r="C12" s="6" t="s">
        <v>150</v>
      </c>
    </row>
    <row r="13" spans="2:3" x14ac:dyDescent="0.45">
      <c r="C13" s="6" t="s">
        <v>151</v>
      </c>
    </row>
    <row r="14" spans="2:3" ht="28.5" x14ac:dyDescent="0.45">
      <c r="C14" s="6" t="s">
        <v>152</v>
      </c>
    </row>
    <row r="15" spans="2:3" x14ac:dyDescent="0.45">
      <c r="C15" s="6" t="s">
        <v>153</v>
      </c>
    </row>
    <row r="16" spans="2:3" x14ac:dyDescent="0.45">
      <c r="C16" s="6" t="s">
        <v>154</v>
      </c>
    </row>
    <row r="17" spans="3:3" x14ac:dyDescent="0.45">
      <c r="C17" s="6" t="s">
        <v>155</v>
      </c>
    </row>
    <row r="18" spans="3:3" x14ac:dyDescent="0.45">
      <c r="C18" s="6" t="s">
        <v>156</v>
      </c>
    </row>
    <row r="19" spans="3:3" ht="28.5" x14ac:dyDescent="0.45">
      <c r="C19" s="6" t="s">
        <v>157</v>
      </c>
    </row>
    <row r="20" spans="3:3" x14ac:dyDescent="0.45">
      <c r="C20" s="6" t="s">
        <v>158</v>
      </c>
    </row>
    <row r="21" spans="3:3" ht="28.5" x14ac:dyDescent="0.45">
      <c r="C21" s="6" t="s">
        <v>159</v>
      </c>
    </row>
    <row r="22" spans="3:3" x14ac:dyDescent="0.45">
      <c r="C22" s="6" t="s">
        <v>160</v>
      </c>
    </row>
    <row r="23" spans="3:3" ht="28.5" x14ac:dyDescent="0.45">
      <c r="C23" s="6" t="s">
        <v>161</v>
      </c>
    </row>
    <row r="24" spans="3:3" x14ac:dyDescent="0.45">
      <c r="C24" s="6" t="s">
        <v>160</v>
      </c>
    </row>
    <row r="25" spans="3:3" x14ac:dyDescent="0.45">
      <c r="C25" s="6" t="s">
        <v>162</v>
      </c>
    </row>
    <row r="26" spans="3:3" x14ac:dyDescent="0.45">
      <c r="C26" s="6" t="s">
        <v>163</v>
      </c>
    </row>
    <row r="27" spans="3:3" ht="28.5" x14ac:dyDescent="0.45">
      <c r="C27" s="6" t="s">
        <v>164</v>
      </c>
    </row>
    <row r="28" spans="3:3" x14ac:dyDescent="0.45">
      <c r="C28" s="6" t="s">
        <v>165</v>
      </c>
    </row>
    <row r="29" spans="3:3" x14ac:dyDescent="0.45">
      <c r="C29" s="6" t="s">
        <v>166</v>
      </c>
    </row>
    <row r="30" spans="3:3" x14ac:dyDescent="0.45">
      <c r="C30" s="6" t="s">
        <v>167</v>
      </c>
    </row>
    <row r="31" spans="3:3" ht="28.5" x14ac:dyDescent="0.45">
      <c r="C31" s="6" t="s">
        <v>168</v>
      </c>
    </row>
    <row r="32" spans="3:3" x14ac:dyDescent="0.45">
      <c r="C32" s="6" t="s">
        <v>169</v>
      </c>
    </row>
    <row r="33" spans="3:3" x14ac:dyDescent="0.45">
      <c r="C33" s="6" t="s">
        <v>170</v>
      </c>
    </row>
    <row r="34" spans="3:3" x14ac:dyDescent="0.45">
      <c r="C34" s="6" t="s">
        <v>171</v>
      </c>
    </row>
    <row r="35" spans="3:3" x14ac:dyDescent="0.45">
      <c r="C35" s="6" t="s">
        <v>172</v>
      </c>
    </row>
    <row r="36" spans="3:3" x14ac:dyDescent="0.45">
      <c r="C36" s="6" t="s">
        <v>173</v>
      </c>
    </row>
    <row r="37" spans="3:3" x14ac:dyDescent="0.45">
      <c r="C37" s="6" t="s">
        <v>174</v>
      </c>
    </row>
    <row r="38" spans="3:3" x14ac:dyDescent="0.45">
      <c r="C38" s="6" t="s">
        <v>175</v>
      </c>
    </row>
    <row r="39" spans="3:3" x14ac:dyDescent="0.45">
      <c r="C39" s="6" t="s">
        <v>176</v>
      </c>
    </row>
    <row r="40" spans="3:3" x14ac:dyDescent="0.45">
      <c r="C40" s="6" t="s">
        <v>177</v>
      </c>
    </row>
    <row r="41" spans="3:3" x14ac:dyDescent="0.45">
      <c r="C41" s="6" t="s">
        <v>178</v>
      </c>
    </row>
    <row r="42" spans="3:3" x14ac:dyDescent="0.45">
      <c r="C42" s="6" t="s">
        <v>160</v>
      </c>
    </row>
    <row r="43" spans="3:3" x14ac:dyDescent="0.45">
      <c r="C43" s="6" t="s">
        <v>179</v>
      </c>
    </row>
    <row r="44" spans="3:3" x14ac:dyDescent="0.45">
      <c r="C44" s="6" t="s">
        <v>180</v>
      </c>
    </row>
    <row r="45" spans="3:3" x14ac:dyDescent="0.45">
      <c r="C45" s="6" t="s">
        <v>181</v>
      </c>
    </row>
    <row r="46" spans="3:3" x14ac:dyDescent="0.45">
      <c r="C46" s="6" t="s">
        <v>173</v>
      </c>
    </row>
    <row r="47" spans="3:3" x14ac:dyDescent="0.45">
      <c r="C47" s="6" t="s">
        <v>182</v>
      </c>
    </row>
    <row r="48" spans="3:3" x14ac:dyDescent="0.45">
      <c r="C48" s="6" t="s">
        <v>183</v>
      </c>
    </row>
    <row r="49" spans="3:3" ht="28.5" x14ac:dyDescent="0.45">
      <c r="C49" s="6" t="s">
        <v>184</v>
      </c>
    </row>
    <row r="50" spans="3:3" x14ac:dyDescent="0.45">
      <c r="C50" s="6" t="s">
        <v>185</v>
      </c>
    </row>
    <row r="51" spans="3:3" ht="28.5" x14ac:dyDescent="0.45">
      <c r="C51" s="6" t="s">
        <v>186</v>
      </c>
    </row>
    <row r="52" spans="3:3" x14ac:dyDescent="0.45">
      <c r="C52" s="6" t="s">
        <v>187</v>
      </c>
    </row>
    <row r="53" spans="3:3" ht="42.75" x14ac:dyDescent="0.45">
      <c r="C53" s="6" t="s">
        <v>188</v>
      </c>
    </row>
    <row r="54" spans="3:3" x14ac:dyDescent="0.45">
      <c r="C54" s="6" t="s">
        <v>189</v>
      </c>
    </row>
    <row r="55" spans="3:3" x14ac:dyDescent="0.45">
      <c r="C55" s="6" t="s">
        <v>190</v>
      </c>
    </row>
    <row r="56" spans="3:3" x14ac:dyDescent="0.45">
      <c r="C56" s="6" t="s">
        <v>160</v>
      </c>
    </row>
    <row r="57" spans="3:3" ht="42.75" x14ac:dyDescent="0.45">
      <c r="C57" s="6" t="s">
        <v>191</v>
      </c>
    </row>
    <row r="58" spans="3:3" x14ac:dyDescent="0.45">
      <c r="C58" s="6" t="s">
        <v>192</v>
      </c>
    </row>
    <row r="59" spans="3:3" ht="28.5" x14ac:dyDescent="0.45">
      <c r="C59" s="6" t="s">
        <v>193</v>
      </c>
    </row>
    <row r="60" spans="3:3" x14ac:dyDescent="0.45">
      <c r="C60" s="6" t="s">
        <v>194</v>
      </c>
    </row>
    <row r="61" spans="3:3" ht="28.5" x14ac:dyDescent="0.45">
      <c r="C61" s="6" t="s">
        <v>195</v>
      </c>
    </row>
    <row r="62" spans="3:3" x14ac:dyDescent="0.45">
      <c r="C62" s="6" t="s">
        <v>196</v>
      </c>
    </row>
    <row r="63" spans="3:3" ht="42.75" x14ac:dyDescent="0.45">
      <c r="C63" s="6" t="s">
        <v>197</v>
      </c>
    </row>
    <row r="64" spans="3:3" x14ac:dyDescent="0.45">
      <c r="C64" s="6" t="s">
        <v>198</v>
      </c>
    </row>
    <row r="65" spans="3:3" ht="28.5" x14ac:dyDescent="0.45">
      <c r="C65" s="6" t="s">
        <v>199</v>
      </c>
    </row>
    <row r="66" spans="3:3" x14ac:dyDescent="0.45">
      <c r="C66" s="6" t="s">
        <v>200</v>
      </c>
    </row>
    <row r="67" spans="3:3" x14ac:dyDescent="0.45">
      <c r="C67" s="6" t="s">
        <v>201</v>
      </c>
    </row>
    <row r="68" spans="3:3" x14ac:dyDescent="0.45">
      <c r="C68" s="6" t="s">
        <v>202</v>
      </c>
    </row>
    <row r="69" spans="3:3" x14ac:dyDescent="0.45">
      <c r="C69" s="6" t="s">
        <v>203</v>
      </c>
    </row>
    <row r="70" spans="3:3" x14ac:dyDescent="0.45">
      <c r="C70" s="6" t="s">
        <v>160</v>
      </c>
    </row>
    <row r="71" spans="3:3" x14ac:dyDescent="0.45">
      <c r="C71" s="6" t="s">
        <v>204</v>
      </c>
    </row>
    <row r="72" spans="3:3" x14ac:dyDescent="0.45">
      <c r="C72" s="6" t="s">
        <v>205</v>
      </c>
    </row>
    <row r="73" spans="3:3" x14ac:dyDescent="0.45">
      <c r="C73" s="6" t="s">
        <v>206</v>
      </c>
    </row>
    <row r="74" spans="3:3" x14ac:dyDescent="0.45">
      <c r="C74" s="6" t="s">
        <v>207</v>
      </c>
    </row>
    <row r="75" spans="3:3" ht="42.75" x14ac:dyDescent="0.45">
      <c r="C75" s="6" t="s">
        <v>208</v>
      </c>
    </row>
    <row r="76" spans="3:3" x14ac:dyDescent="0.45">
      <c r="C76" s="6" t="s">
        <v>209</v>
      </c>
    </row>
    <row r="77" spans="3:3" ht="99.75" x14ac:dyDescent="0.45">
      <c r="C77" s="6" t="s">
        <v>210</v>
      </c>
    </row>
    <row r="78" spans="3:3" x14ac:dyDescent="0.45">
      <c r="C78" s="6" t="s">
        <v>211</v>
      </c>
    </row>
    <row r="79" spans="3:3" ht="114" x14ac:dyDescent="0.45">
      <c r="C79" s="6" t="s">
        <v>212</v>
      </c>
    </row>
    <row r="80" spans="3:3" x14ac:dyDescent="0.45">
      <c r="C80" s="6" t="s">
        <v>213</v>
      </c>
    </row>
    <row r="81" spans="2:3" ht="28.5" x14ac:dyDescent="0.45">
      <c r="C81" s="6" t="s">
        <v>214</v>
      </c>
    </row>
    <row r="82" spans="2:3" x14ac:dyDescent="0.45">
      <c r="C82" s="6" t="s">
        <v>78</v>
      </c>
    </row>
    <row r="83" spans="2:3" x14ac:dyDescent="0.45">
      <c r="C83" s="6" t="s">
        <v>215</v>
      </c>
    </row>
    <row r="84" spans="2:3" x14ac:dyDescent="0.45">
      <c r="C84" s="6" t="s">
        <v>216</v>
      </c>
    </row>
    <row r="85" spans="2:3" x14ac:dyDescent="0.45">
      <c r="C85" s="6" t="s">
        <v>217</v>
      </c>
    </row>
    <row r="88" spans="2:3" ht="33.75" x14ac:dyDescent="0.45">
      <c r="B88" s="11" t="s">
        <v>92</v>
      </c>
    </row>
    <row r="89" spans="2:3" x14ac:dyDescent="0.45">
      <c r="C89" s="6" t="s">
        <v>93</v>
      </c>
    </row>
    <row r="91" spans="2:3" x14ac:dyDescent="0.45">
      <c r="C91" s="6" t="s">
        <v>218</v>
      </c>
    </row>
    <row r="93" spans="2:3" x14ac:dyDescent="0.45">
      <c r="C93" s="6" t="s">
        <v>95</v>
      </c>
    </row>
    <row r="95" spans="2:3" ht="128.25" x14ac:dyDescent="0.45">
      <c r="C95" s="6" t="s">
        <v>219</v>
      </c>
    </row>
    <row r="97" spans="3:3" x14ac:dyDescent="0.45">
      <c r="C97" s="6" t="s">
        <v>100</v>
      </c>
    </row>
    <row r="99" spans="3:3" x14ac:dyDescent="0.45">
      <c r="C99" s="6" t="s">
        <v>220</v>
      </c>
    </row>
    <row r="100" spans="3:3" x14ac:dyDescent="0.45">
      <c r="C100" s="6" t="s">
        <v>221</v>
      </c>
    </row>
    <row r="101" spans="3:3" x14ac:dyDescent="0.45">
      <c r="C101" s="6" t="s">
        <v>222</v>
      </c>
    </row>
    <row r="102" spans="3:3" x14ac:dyDescent="0.45">
      <c r="C102" s="6" t="s">
        <v>223</v>
      </c>
    </row>
    <row r="104" spans="3:3" x14ac:dyDescent="0.45">
      <c r="C104" s="6" t="s">
        <v>103</v>
      </c>
    </row>
    <row r="106" spans="3:3" x14ac:dyDescent="0.45">
      <c r="C106" s="6" t="s">
        <v>224</v>
      </c>
    </row>
    <row r="107" spans="3:3" x14ac:dyDescent="0.45">
      <c r="C107" s="6" t="s">
        <v>225</v>
      </c>
    </row>
    <row r="109" spans="3:3" x14ac:dyDescent="0.45">
      <c r="C109" s="6" t="s">
        <v>107</v>
      </c>
    </row>
    <row r="111" spans="3:3" x14ac:dyDescent="0.45">
      <c r="C111" s="6" t="s">
        <v>226</v>
      </c>
    </row>
    <row r="113" spans="3:3" x14ac:dyDescent="0.45">
      <c r="C113" s="6" t="s">
        <v>109</v>
      </c>
    </row>
    <row r="115" spans="3:3" x14ac:dyDescent="0.45">
      <c r="C115" s="6" t="s">
        <v>227</v>
      </c>
    </row>
    <row r="117" spans="3:3" x14ac:dyDescent="0.45">
      <c r="C117" s="6" t="s">
        <v>111</v>
      </c>
    </row>
    <row r="119" spans="3:3" ht="71.25" x14ac:dyDescent="0.45">
      <c r="C119" s="6" t="s">
        <v>228</v>
      </c>
    </row>
    <row r="121" spans="3:3" x14ac:dyDescent="0.45">
      <c r="C121" s="6" t="s">
        <v>229</v>
      </c>
    </row>
    <row r="123" spans="3:3" x14ac:dyDescent="0.45">
      <c r="C123" s="6" t="s">
        <v>230</v>
      </c>
    </row>
  </sheetData>
  <mergeCells count="2">
    <mergeCell ref="B1:C1"/>
    <mergeCell ref="B2:C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5"/>
  <sheetViews>
    <sheetView zoomScale="70" zoomScaleNormal="70" workbookViewId="0">
      <pane xSplit="2" ySplit="5" topLeftCell="C6" activePane="bottomRight" state="frozen"/>
      <selection pane="topRight"/>
      <selection pane="bottomLeft"/>
      <selection pane="bottomRight" activeCell="I13" sqref="I13"/>
    </sheetView>
  </sheetViews>
  <sheetFormatPr defaultRowHeight="14.25" x14ac:dyDescent="0.45"/>
  <cols>
    <col min="1" max="1" width="22" customWidth="1"/>
    <col min="2" max="2" width="80" customWidth="1"/>
    <col min="3" max="7" width="12" customWidth="1"/>
    <col min="8" max="8" width="50" customWidth="1"/>
  </cols>
  <sheetData>
    <row r="1" spans="1:8" ht="18" x14ac:dyDescent="0.55000000000000004">
      <c r="A1" s="21" t="s">
        <v>231</v>
      </c>
      <c r="B1" s="20"/>
      <c r="C1" s="20"/>
      <c r="D1" s="20"/>
      <c r="E1" s="20"/>
      <c r="F1" s="20"/>
      <c r="G1" s="20"/>
      <c r="H1" s="20"/>
    </row>
    <row r="2" spans="1:8" x14ac:dyDescent="0.45">
      <c r="A2" s="19" t="s">
        <v>115</v>
      </c>
      <c r="B2" s="20"/>
      <c r="C2" s="20"/>
      <c r="D2" s="20"/>
      <c r="E2" s="20"/>
      <c r="F2" s="20"/>
      <c r="G2" s="20"/>
      <c r="H2" s="20"/>
    </row>
    <row r="3" spans="1:8" x14ac:dyDescent="0.45">
      <c r="A3" s="19" t="s">
        <v>232</v>
      </c>
      <c r="B3" s="20"/>
      <c r="C3" s="20"/>
      <c r="D3" s="20"/>
      <c r="E3" s="20"/>
      <c r="F3" s="20"/>
      <c r="G3" s="20"/>
      <c r="H3" s="20"/>
    </row>
    <row r="5" spans="1:8" ht="50" customHeight="1" x14ac:dyDescent="0.45">
      <c r="A5" s="12" t="s">
        <v>117</v>
      </c>
      <c r="B5" s="12" t="s">
        <v>118</v>
      </c>
      <c r="C5" s="12" t="s">
        <v>119</v>
      </c>
      <c r="D5" s="12" t="s">
        <v>120</v>
      </c>
      <c r="E5" s="12" t="s">
        <v>121</v>
      </c>
      <c r="F5" s="12" t="s">
        <v>122</v>
      </c>
      <c r="G5" s="12" t="s">
        <v>123</v>
      </c>
      <c r="H5" s="12" t="s">
        <v>124</v>
      </c>
    </row>
    <row r="6" spans="1:8" ht="409.05" customHeight="1" x14ac:dyDescent="0.45">
      <c r="A6" s="13" t="s">
        <v>125</v>
      </c>
      <c r="B6" s="14" t="s">
        <v>233</v>
      </c>
      <c r="C6" s="15">
        <v>3</v>
      </c>
      <c r="D6" s="15">
        <v>3</v>
      </c>
      <c r="E6" s="15">
        <v>4</v>
      </c>
      <c r="F6" s="15">
        <v>3</v>
      </c>
      <c r="G6" s="16">
        <f t="shared" ref="G6:G13" si="0">IF(COUNT(C6:F6)&lt;4,"",ROUND(AVERAGE(C6:F6),2))</f>
        <v>3.25</v>
      </c>
      <c r="H6" s="17" t="s">
        <v>248</v>
      </c>
    </row>
    <row r="7" spans="1:8" ht="409.05" customHeight="1" x14ac:dyDescent="0.45">
      <c r="A7" s="13" t="s">
        <v>127</v>
      </c>
      <c r="B7" s="14" t="s">
        <v>249</v>
      </c>
      <c r="C7" s="15">
        <v>4</v>
      </c>
      <c r="D7" s="15">
        <v>3</v>
      </c>
      <c r="E7" s="15">
        <v>5</v>
      </c>
      <c r="F7" s="15">
        <v>4</v>
      </c>
      <c r="G7" s="16">
        <f t="shared" si="0"/>
        <v>4</v>
      </c>
      <c r="H7" s="17" t="s">
        <v>250</v>
      </c>
    </row>
    <row r="8" spans="1:8" ht="409.05" customHeight="1" x14ac:dyDescent="0.45">
      <c r="A8" s="13" t="s">
        <v>129</v>
      </c>
      <c r="B8" s="14" t="s">
        <v>234</v>
      </c>
      <c r="C8" s="15">
        <v>4</v>
      </c>
      <c r="D8" s="15">
        <v>4</v>
      </c>
      <c r="E8" s="15">
        <v>5</v>
      </c>
      <c r="F8" s="15">
        <v>4</v>
      </c>
      <c r="G8" s="16">
        <f t="shared" si="0"/>
        <v>4.25</v>
      </c>
      <c r="H8" s="17" t="s">
        <v>251</v>
      </c>
    </row>
    <row r="9" spans="1:8" ht="409.05" customHeight="1" x14ac:dyDescent="0.45">
      <c r="A9" s="13" t="s">
        <v>131</v>
      </c>
      <c r="B9" s="14" t="s">
        <v>235</v>
      </c>
      <c r="C9" s="15">
        <v>4</v>
      </c>
      <c r="D9" s="15">
        <v>4</v>
      </c>
      <c r="E9" s="15">
        <v>5</v>
      </c>
      <c r="F9" s="15">
        <v>5</v>
      </c>
      <c r="G9" s="16">
        <f t="shared" si="0"/>
        <v>4.5</v>
      </c>
      <c r="H9" s="17" t="s">
        <v>252</v>
      </c>
    </row>
    <row r="10" spans="1:8" ht="409.05" customHeight="1" x14ac:dyDescent="0.45">
      <c r="A10" s="13" t="s">
        <v>133</v>
      </c>
      <c r="B10" s="14" t="s">
        <v>236</v>
      </c>
      <c r="C10" s="15">
        <v>4</v>
      </c>
      <c r="D10" s="15">
        <v>4</v>
      </c>
      <c r="E10" s="15">
        <v>5</v>
      </c>
      <c r="F10" s="15">
        <v>5</v>
      </c>
      <c r="G10" s="16">
        <f t="shared" si="0"/>
        <v>4.5</v>
      </c>
      <c r="H10" s="17" t="s">
        <v>253</v>
      </c>
    </row>
    <row r="11" spans="1:8" ht="409.05" customHeight="1" x14ac:dyDescent="0.45">
      <c r="A11" s="13" t="s">
        <v>135</v>
      </c>
      <c r="B11" s="14" t="s">
        <v>237</v>
      </c>
      <c r="C11" s="15">
        <v>4</v>
      </c>
      <c r="D11" s="15">
        <v>4</v>
      </c>
      <c r="E11" s="15">
        <v>5</v>
      </c>
      <c r="F11" s="15">
        <v>5</v>
      </c>
      <c r="G11" s="16">
        <f t="shared" si="0"/>
        <v>4.5</v>
      </c>
      <c r="H11" s="17" t="s">
        <v>255</v>
      </c>
    </row>
    <row r="12" spans="1:8" ht="409.05" customHeight="1" x14ac:dyDescent="0.45">
      <c r="A12" s="13" t="s">
        <v>137</v>
      </c>
      <c r="B12" s="14" t="s">
        <v>238</v>
      </c>
      <c r="C12" s="15">
        <v>4</v>
      </c>
      <c r="D12" s="15">
        <v>4</v>
      </c>
      <c r="E12" s="15">
        <v>5</v>
      </c>
      <c r="F12" s="15">
        <v>5</v>
      </c>
      <c r="G12" s="16">
        <f t="shared" si="0"/>
        <v>4.5</v>
      </c>
      <c r="H12" s="17" t="s">
        <v>254</v>
      </c>
    </row>
    <row r="13" spans="1:8" ht="409.05" customHeight="1" x14ac:dyDescent="0.45">
      <c r="A13" s="13" t="s">
        <v>139</v>
      </c>
      <c r="B13" s="14" t="s">
        <v>239</v>
      </c>
      <c r="C13" s="15">
        <v>4</v>
      </c>
      <c r="D13" s="15">
        <v>4</v>
      </c>
      <c r="E13" s="15">
        <v>5</v>
      </c>
      <c r="F13" s="15">
        <v>5</v>
      </c>
      <c r="G13" s="16">
        <f t="shared" si="0"/>
        <v>4.5</v>
      </c>
      <c r="H13" s="17" t="s">
        <v>256</v>
      </c>
    </row>
    <row r="15" spans="1:8" x14ac:dyDescent="0.45">
      <c r="A15" s="18" t="s">
        <v>141</v>
      </c>
      <c r="C15" s="16">
        <f>IF(COUNT(C6:C13)=0,"",ROUND(AVERAGE(C6:C13),2))</f>
        <v>3.88</v>
      </c>
      <c r="D15" s="16">
        <f>IF(COUNT(D6:D13)=0,"",ROUND(AVERAGE(D6:D13),2))</f>
        <v>3.75</v>
      </c>
      <c r="E15" s="16">
        <f>IF(COUNT(E6:E13)=0,"",ROUND(AVERAGE(E6:E13),2))</f>
        <v>4.88</v>
      </c>
      <c r="F15" s="16">
        <f>IF(COUNT(F6:F13)=0,"",ROUND(AVERAGE(F6:F13),2))</f>
        <v>4.5</v>
      </c>
      <c r="G15" s="16">
        <f>IF(COUNT(G6:G13)=0,"",ROUND(AVERAGE(G6:G13),2))</f>
        <v>4.25</v>
      </c>
    </row>
  </sheetData>
  <mergeCells count="3">
    <mergeCell ref="A3:H3"/>
    <mergeCell ref="A2:H2"/>
    <mergeCell ref="A1:H1"/>
  </mergeCells>
  <dataValidations count="1">
    <dataValidation type="whole" allowBlank="1" errorTitle="Ugyldig verdi" error="Skriv et heltall mellom 1 og 5." promptTitle="Score 1–5" prompt="Heltall 1–5" sqref="C6:F13" xr:uid="{00000000-0002-0000-0500-000000000000}">
      <formula1>1</formula1>
      <formula2>5</formula2>
    </dataValidation>
  </dataValidations>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Forside</vt:lpstr>
      <vt:lpstr>Scoringskriterier</vt:lpstr>
      <vt:lpstr>Sheet1</vt:lpstr>
      <vt:lpstr>Samtale 1 – Transkript</vt:lpstr>
      <vt:lpstr>Samtale 1 – Scoring</vt:lpstr>
      <vt:lpstr>Samtale 2 – Transkript</vt:lpstr>
      <vt:lpstr>Samtale 2 – 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Henriette Ingvaldsen</cp:lastModifiedBy>
  <dcterms:created xsi:type="dcterms:W3CDTF">2026-04-30T08:46:04Z</dcterms:created>
  <dcterms:modified xsi:type="dcterms:W3CDTF">2026-05-04T13:18:12Z</dcterms:modified>
</cp:coreProperties>
</file>