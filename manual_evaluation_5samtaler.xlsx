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orside" sheetId="1" state="visible" r:id="rId1"/>
    <sheet xmlns:r="http://schemas.openxmlformats.org/officeDocument/2006/relationships" name="Samtale 1 – Transkript" sheetId="2" state="visible" r:id="rId2"/>
    <sheet xmlns:r="http://schemas.openxmlformats.org/officeDocument/2006/relationships" name="Samtale 1 – Scoring" sheetId="3" state="visible" r:id="rId3"/>
    <sheet xmlns:r="http://schemas.openxmlformats.org/officeDocument/2006/relationships" name="Samtale 2 – Transkript" sheetId="4" state="visible" r:id="rId4"/>
    <sheet xmlns:r="http://schemas.openxmlformats.org/officeDocument/2006/relationships" name="Samtale 2 – Scoring" sheetId="5" state="visible" r:id="rId5"/>
    <sheet xmlns:r="http://schemas.openxmlformats.org/officeDocument/2006/relationships" name="Samtale 3 – Transkript" sheetId="6" state="visible" r:id="rId6"/>
    <sheet xmlns:r="http://schemas.openxmlformats.org/officeDocument/2006/relationships" name="Samtale 3 – Scoring" sheetId="7" state="visible" r:id="rId7"/>
    <sheet xmlns:r="http://schemas.openxmlformats.org/officeDocument/2006/relationships" name="Samtale 4 – Transkript" sheetId="8" state="visible" r:id="rId8"/>
    <sheet xmlns:r="http://schemas.openxmlformats.org/officeDocument/2006/relationships" name="Samtale 4 – Scoring" sheetId="9" state="visible" r:id="rId9"/>
    <sheet xmlns:r="http://schemas.openxmlformats.org/officeDocument/2006/relationships" name="Samtale 5 – Transkript" sheetId="10" state="visible" r:id="rId10"/>
    <sheet xmlns:r="http://schemas.openxmlformats.org/officeDocument/2006/relationships" name="Samtale 5 – Scoring" sheetId="11" state="visible" r:id="rId11"/>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sz val="16"/>
    </font>
    <font>
      <i val="1"/>
      <color rgb="00595959"/>
    </font>
    <font>
      <b val="1"/>
      <sz val="13"/>
    </font>
    <font>
      <b val="1"/>
    </font>
    <font>
      <b val="1"/>
      <sz val="14"/>
    </font>
    <font>
      <b val="1"/>
      <color rgb="00FFFFFF"/>
      <sz val="12"/>
    </font>
    <font>
      <b val="1"/>
      <color rgb="00FFFFFF"/>
      <sz val="11"/>
    </font>
  </fonts>
  <fills count="7">
    <fill>
      <patternFill/>
    </fill>
    <fill>
      <patternFill patternType="gray125"/>
    </fill>
    <fill>
      <patternFill patternType="solid">
        <fgColor rgb="00D9E1F2"/>
      </patternFill>
    </fill>
    <fill>
      <patternFill patternType="solid">
        <fgColor rgb="001F4E78"/>
      </patternFill>
    </fill>
    <fill>
      <patternFill patternType="solid">
        <fgColor rgb="00FFF2CC"/>
      </patternFill>
    </fill>
    <fill>
      <patternFill patternType="solid">
        <fgColor rgb="00EDEDED"/>
      </patternFill>
    </fill>
    <fill>
      <patternFill patternType="solid">
        <fgColor rgb="00E2EFD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7">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0" fillId="0" borderId="0" applyAlignment="1" pivotButton="0" quotePrefix="0" xfId="0">
      <alignment vertical="top" wrapText="1"/>
    </xf>
    <xf numFmtId="0" fontId="4" fillId="2" borderId="0" pivotButton="0" quotePrefix="0" xfId="0"/>
    <xf numFmtId="0" fontId="4" fillId="0" borderId="0" pivotButton="0" quotePrefix="0" xfId="0"/>
    <xf numFmtId="0" fontId="0" fillId="0" borderId="0" applyAlignment="1" pivotButton="0" quotePrefix="0" xfId="0">
      <alignment wrapText="1"/>
    </xf>
    <xf numFmtId="0" fontId="5" fillId="0" borderId="0" pivotButton="0" quotePrefix="0" xfId="0"/>
    <xf numFmtId="0" fontId="6" fillId="3" borderId="0" pivotButton="0" quotePrefix="0" xfId="0"/>
    <xf numFmtId="0" fontId="4" fillId="2" borderId="0" applyAlignment="1" pivotButton="0" quotePrefix="0" xfId="0">
      <alignment vertical="top" wrapText="1"/>
    </xf>
    <xf numFmtId="0" fontId="7" fillId="3" borderId="1" applyAlignment="1" pivotButton="0" quotePrefix="0" xfId="0">
      <alignment horizontal="center" vertical="center" wrapText="1"/>
    </xf>
    <xf numFmtId="0" fontId="4" fillId="0" borderId="1" applyAlignment="1" pivotButton="0" quotePrefix="0" xfId="0">
      <alignment vertical="top" wrapText="1"/>
    </xf>
    <xf numFmtId="0" fontId="0" fillId="0" borderId="1" applyAlignment="1" pivotButton="0" quotePrefix="0" xfId="0">
      <alignment vertical="top" wrapText="1"/>
    </xf>
    <xf numFmtId="0" fontId="0" fillId="4" borderId="1" applyAlignment="1" pivotButton="0" quotePrefix="0" xfId="0">
      <alignment horizontal="center" vertical="center"/>
    </xf>
    <xf numFmtId="0" fontId="4" fillId="5" borderId="1" applyAlignment="1" pivotButton="0" quotePrefix="0" xfId="0">
      <alignment horizontal="center" vertical="center"/>
    </xf>
    <xf numFmtId="0" fontId="0" fillId="6" borderId="1" applyAlignment="1" pivotButton="0" quotePrefix="0" xfId="0">
      <alignment vertical="top" wrapText="1"/>
    </xf>
  </cellXfs>
  <cellStyles count="1">
    <cellStyle name="Normal" xfId="0" builtinId="0" hidden="0"/>
  </cellStyles>
  <dxfs count="1">
    <dxf>
      <fill>
        <patternFill patternType="solid">
          <fgColor rgb="00FCE4D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1:F33"/>
  <sheetViews>
    <sheetView showGridLines="0" workbookViewId="0">
      <selection activeCell="A1" sqref="A1"/>
    </sheetView>
  </sheetViews>
  <sheetFormatPr baseColWidth="8" defaultRowHeight="15"/>
  <cols>
    <col width="4" customWidth="1" min="1" max="1"/>
    <col width="32" customWidth="1" min="2" max="2"/>
    <col width="80" customWidth="1" min="3" max="3"/>
    <col width="18" customWidth="1" min="4" max="4"/>
  </cols>
  <sheetData>
    <row r="1">
      <c r="B1" s="1" t="inlineStr">
        <is>
          <t>Manuell evaluering av sammendrag</t>
        </is>
      </c>
    </row>
    <row r="2">
      <c r="B2" s="2" t="inlineStr">
        <is>
          <t>Run: 20260426_142136  |  Modell: gpt-5.4  |  Split: test1</t>
        </is>
      </c>
    </row>
    <row r="4">
      <c r="B4" s="3" t="inlineStr">
        <is>
          <t>Hvordan bruke arbeidsboken</t>
        </is>
      </c>
    </row>
    <row r="5">
      <c r="B5" s="4" t="inlineStr">
        <is>
          <t>1. For hver samtale finnes to faner: «… – Transkript» (les samtalen + referansenotat) og «… – Scoring» (gi poeng).</t>
        </is>
      </c>
    </row>
    <row r="6">
      <c r="B6" s="4" t="inlineStr">
        <is>
          <t>2. I scoring-fanen: hver rad = ett sammendrag (8 strategier per samtale). Kolonnene er kriteriene.</t>
        </is>
      </c>
    </row>
    <row r="7">
      <c r="B7" s="4" t="inlineStr">
        <is>
          <t>3. Skriv kun tall i de gule cellene. Grå celler beregnes automatisk. Skriv valgfri kommentar i de grønne.</t>
        </is>
      </c>
    </row>
    <row r="8">
      <c r="B8" s="4" t="inlineStr">
        <is>
          <t>4. «Syntese nødvendig?» (0/1) er en port: hvis 0, lar du «Synteseutførelse» stå tom. Hvis 1, gi 1-5.</t>
        </is>
      </c>
    </row>
    <row r="9">
      <c r="B9" s="4" t="inlineStr">
        <is>
          <t>5. «Primary score» er gjennomsnitt av kvalitetskriteriene + synthesized (kun hvis abstraction=1).</t>
        </is>
      </c>
    </row>
    <row r="10">
      <c r="B10" s="4" t="inlineStr">
        <is>
          <t>6. Stigma-feltene er 0/1. «voice_note» kan kopieres på tvers av strategier (likt for samtalen).</t>
        </is>
      </c>
    </row>
    <row r="11">
      <c r="B11" s="4" t="inlineStr">
        <is>
          <t>7. Fargekoder:  GUL = du fyller inn,  GRÅ = utregnet,  GRØNN = fritekst-notater.</t>
        </is>
      </c>
    </row>
    <row r="13">
      <c r="B13" s="3" t="inlineStr">
        <is>
          <t>Kriterier (kort sammendrag)</t>
        </is>
      </c>
    </row>
    <row r="14">
      <c r="B14" s="5" t="inlineStr">
        <is>
          <t>Kriterium</t>
        </is>
      </c>
      <c r="C14" s="5" t="inlineStr">
        <is>
          <t>Beskrivelse</t>
        </is>
      </c>
      <c r="D14" s="5" t="inlineStr">
        <is>
          <t>Skala</t>
        </is>
      </c>
    </row>
    <row r="15">
      <c r="B15" s="6" t="inlineStr">
        <is>
          <t>Forankring (citation)</t>
        </is>
      </c>
      <c r="C15" s="7" t="inlineStr">
        <is>
          <t>Påstander forankret i kilden</t>
        </is>
      </c>
      <c r="D15" t="inlineStr">
        <is>
          <t>1-5</t>
        </is>
      </c>
    </row>
    <row r="16">
      <c r="B16" s="6" t="inlineStr">
        <is>
          <t>Nøyaktighet (accurate)</t>
        </is>
      </c>
      <c r="C16" s="7" t="inlineStr">
        <is>
          <t>Faktisk korrekt vs. transkriptet</t>
        </is>
      </c>
      <c r="D16" t="inlineStr">
        <is>
          <t>1-5</t>
        </is>
      </c>
    </row>
    <row r="17">
      <c r="B17" s="6" t="inlineStr">
        <is>
          <t>Grundighet (thorough)</t>
        </is>
      </c>
      <c r="C17" s="7" t="inlineStr">
        <is>
          <t>Inkluderer klinisk relevant info</t>
        </is>
      </c>
      <c r="D17" t="inlineStr">
        <is>
          <t>1-5</t>
        </is>
      </c>
    </row>
    <row r="18">
      <c r="B18" s="6" t="inlineStr">
        <is>
          <t>Nytteverdi (useful)</t>
        </is>
      </c>
      <c r="C18" s="7" t="inlineStr">
        <is>
          <t>Klinisk nyttig, riktig prioritert</t>
        </is>
      </c>
      <c r="D18" t="inlineStr">
        <is>
          <t>1-5</t>
        </is>
      </c>
    </row>
    <row r="19">
      <c r="B19" s="6" t="inlineStr">
        <is>
          <t>Organisert (organized)</t>
        </is>
      </c>
      <c r="C19" s="7" t="inlineStr">
        <is>
          <t>Logisk struktur, lett å skanne</t>
        </is>
      </c>
      <c r="D19" t="inlineStr">
        <is>
          <t>1-5</t>
        </is>
      </c>
    </row>
    <row r="20">
      <c r="B20" s="6" t="inlineStr">
        <is>
          <t>Forståelig (comprehensible)</t>
        </is>
      </c>
      <c r="C20" s="7" t="inlineStr">
        <is>
          <t>Klart, presist, entydig språk</t>
        </is>
      </c>
      <c r="D20" t="inlineStr">
        <is>
          <t>1-5</t>
        </is>
      </c>
    </row>
    <row r="21">
      <c r="B21" s="6" t="inlineStr">
        <is>
          <t>Kortfattet (succinct)</t>
        </is>
      </c>
      <c r="C21" s="7" t="inlineStr">
        <is>
          <t>Unngår repetisjon/unødvendige detaljer</t>
        </is>
      </c>
      <c r="D21" t="inlineStr">
        <is>
          <t>1-5</t>
        </is>
      </c>
    </row>
    <row r="22">
      <c r="B22" s="6" t="inlineStr">
        <is>
          <t>Syntese nødvendig? (abstraction)</t>
        </is>
      </c>
      <c r="C22" s="7" t="inlineStr">
        <is>
          <t>0=Nei, 1=Ja</t>
        </is>
      </c>
      <c r="D22" t="inlineStr">
        <is>
          <t>0/1</t>
        </is>
      </c>
    </row>
    <row r="23">
      <c r="B23" s="6" t="inlineStr">
        <is>
          <t>Synteseutførelse (synthesized)</t>
        </is>
      </c>
      <c r="C23" s="7" t="inlineStr">
        <is>
          <t>Vurder bare hvis syntese=1 (ellers tom). 1-5</t>
        </is>
      </c>
      <c r="D23" t="inlineStr">
        <is>
          <t>1-5/NA</t>
        </is>
      </c>
    </row>
    <row r="24">
      <c r="B24" s="6" t="inlineStr">
        <is>
          <t>Stigma i sammendrag (voice_summ)</t>
        </is>
      </c>
      <c r="C24" s="7" t="inlineStr">
        <is>
          <t>0=Nei, 1=Ja</t>
        </is>
      </c>
      <c r="D24" t="inlineStr">
        <is>
          <t>0/1</t>
        </is>
      </c>
    </row>
    <row r="25">
      <c r="B25" s="6" t="inlineStr">
        <is>
          <t>Stigma i transkript (voice_note)</t>
        </is>
      </c>
      <c r="C25" s="7" t="inlineStr">
        <is>
          <t>0=Nei, 1=Ja</t>
        </is>
      </c>
      <c r="D25" t="inlineStr">
        <is>
          <t>0/1</t>
        </is>
      </c>
    </row>
    <row r="27">
      <c r="B27" s="3" t="inlineStr">
        <is>
          <t>Samtaler i denne arbeidsboken</t>
        </is>
      </c>
    </row>
    <row r="28">
      <c r="B28" s="5" t="inlineStr">
        <is>
          <t>Samtale-ID</t>
        </is>
      </c>
      <c r="C28" s="5" t="inlineStr">
        <is>
          <t>Antall sammendrag</t>
        </is>
      </c>
    </row>
    <row r="29">
      <c r="B29" t="inlineStr">
        <is>
          <t>0-aci</t>
        </is>
      </c>
      <c r="C29" t="n">
        <v>8</v>
      </c>
    </row>
    <row r="30">
      <c r="B30" t="inlineStr">
        <is>
          <t>1-aci</t>
        </is>
      </c>
      <c r="C30" t="n">
        <v>8</v>
      </c>
    </row>
    <row r="31">
      <c r="B31" t="inlineStr">
        <is>
          <t>2-aci</t>
        </is>
      </c>
      <c r="C31" t="n">
        <v>8</v>
      </c>
    </row>
    <row r="32">
      <c r="B32" t="inlineStr">
        <is>
          <t>3-aci</t>
        </is>
      </c>
      <c r="C32" t="n">
        <v>8</v>
      </c>
    </row>
    <row r="33">
      <c r="B33" t="inlineStr">
        <is>
          <t>4-aci</t>
        </is>
      </c>
      <c r="C33" t="n">
        <v>8</v>
      </c>
    </row>
  </sheetData>
  <mergeCells count="7">
    <mergeCell ref="B7:F7"/>
    <mergeCell ref="B6:F6"/>
    <mergeCell ref="B10:F10"/>
    <mergeCell ref="B11:F11"/>
    <mergeCell ref="B5:F5"/>
    <mergeCell ref="B8:F8"/>
    <mergeCell ref="B9:F9"/>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B1:C85"/>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4" customWidth="1" min="1" max="1"/>
    <col width="24" customWidth="1" min="2" max="2"/>
    <col width="110" customWidth="1" min="3" max="3"/>
  </cols>
  <sheetData>
    <row r="1">
      <c r="B1" s="8" t="inlineStr">
        <is>
          <t>Samtale 1: 0-aci</t>
        </is>
      </c>
    </row>
    <row r="2">
      <c r="B2" s="2" t="inlineStr">
        <is>
          <t>Gå til scoring-fanen «Samtale 1 – Scoring» når du har lest gjennom.</t>
        </is>
      </c>
    </row>
    <row r="4">
      <c r="B4" s="9" t="inlineStr">
        <is>
          <t>TRANSKRIPT (kildesamtale)</t>
        </is>
      </c>
    </row>
    <row r="5" ht="15" customHeight="1">
      <c r="C5" s="4" t="inlineStr">
        <is>
          <t>[doctor] so jerry is a 45 -year-old male who came in today with an ankle injury jerry what happened</t>
        </is>
      </c>
    </row>
    <row r="6" ht="90" customHeight="1">
      <c r="C6" s="4" t="inlineStr">
        <is>
          <t>[patient] hey doctor michael yeah so my son sean i think you met in the past he he started playing basketball and there we do multiple seasons and so we're kinda getting ready for the next season that starts in in april and we were at the courts plan and i went up for a shot and he's far more aggressive than with me than he is with you know his peers i guess he could say and so he he found me while i was going for a lap and then when i came down i kind of landed awkwardly and i kind of like rolled and twisted my my ankle so now it's it's hurting a bit like kind of on the outside you can you can even see it's it's bruised up and a bit swollen</t>
        </is>
      </c>
    </row>
    <row r="7" ht="15" customHeight="1">
      <c r="C7" s="4" t="inlineStr">
        <is>
          <t>[doctor] yeah</t>
        </is>
      </c>
    </row>
    <row r="8" ht="30" customHeight="1">
      <c r="C8" s="4" t="inlineStr">
        <is>
          <t>[patient] and yeah i've been having trouble walking and it just does n't feel solid really stable which is a problem i i recently got back into working out and i had been in a really good rhythm going to the gym</t>
        </is>
      </c>
    </row>
    <row r="9" ht="15" customHeight="1">
      <c r="C9" s="4" t="inlineStr">
        <is>
          <t>[doctor] okay</t>
        </is>
      </c>
    </row>
    <row r="10" ht="30" customHeight="1">
      <c r="C10" s="4" t="inlineStr">
        <is>
          <t>[patient] and i do n't want to disrupt that moments on because it took a lot for me to get back to a good place so</t>
        </is>
      </c>
    </row>
    <row r="11" ht="30" customHeight="1">
      <c r="C11" s="4" t="inlineStr">
        <is>
          <t>[doctor] absolutely okay totally understand that glad to hear that you're back out on the court playing with your son how is he doing by the way</t>
        </is>
      </c>
    </row>
    <row r="12" ht="75" customHeight="1">
      <c r="C12" s="4" t="inlineStr">
        <is>
          <t>[patient] he is doing great he is doing great i mean you know he is a big step kurry fan so he likes to keep up shots from from way out past the three point line and he is only ten and tiny so it's it's not a good idea for him to do that but he is doing really well and i'm just happy he's tried every sport and basketball's really what took so i'm just really happy that he has a sport and loves and couple of his buddies playing to lead with him so it's just makes me happy that he's found something he really enjoys</t>
        </is>
      </c>
    </row>
    <row r="13" ht="45" customHeight="1">
      <c r="C13" s="4" t="inlineStr">
        <is>
          <t>[doctor] good good to hear alright well let's take a look at that ankle it looks like it's pretty swollen so let me just do a quick exam on that right now alright so looks like the outside of your ankle if i push on that does that hurt pretty bad</t>
        </is>
      </c>
    </row>
    <row r="14" ht="15" customHeight="1">
      <c r="C14" s="4" t="inlineStr">
        <is>
          <t>[patient] yeah yes</t>
        </is>
      </c>
    </row>
    <row r="15" ht="15" customHeight="1">
      <c r="C15" s="4" t="inlineStr">
        <is>
          <t>[doctor] okay so exquisite tenderness tenderness laterally and then if i push here does that hurt too</t>
        </is>
      </c>
    </row>
    <row r="16" ht="15" customHeight="1">
      <c r="C16" s="4" t="inlineStr">
        <is>
          <t>[patient] yeah a little bit</t>
        </is>
      </c>
    </row>
    <row r="17" ht="45" customHeight="1">
      <c r="C17" s="4" t="inlineStr">
        <is>
          <t>[doctor] okay so some tenderness over the medial deltoid region so swelling on the lateral side of the ankle no epidermolysis skin is intact looks like you have brisk capillary refill no horrible malalignment so alright can you can you stand on it did you say that you're having trouble walking at all</t>
        </is>
      </c>
    </row>
    <row r="18" ht="30" customHeight="1">
      <c r="C18" s="4" t="inlineStr">
        <is>
          <t>[patient] yeah i mean i can stand on it and i ca n't walk on it it just it hurts and it feels like i'm going to possibly injure it more just because it does n't feel particularly solid</t>
        </is>
      </c>
    </row>
    <row r="19" ht="15" customHeight="1">
      <c r="C19" s="4" t="inlineStr">
        <is>
          <t>[doctor] sure so it does n't quite feel stable</t>
        </is>
      </c>
    </row>
    <row r="20" ht="15" customHeight="1">
      <c r="C20" s="4" t="inlineStr">
        <is>
          <t>[patient] yeah</t>
        </is>
      </c>
    </row>
    <row r="21" ht="120" customHeight="1">
      <c r="C21" s="4" t="inlineStr">
        <is>
          <t>[doctor] okay okay i gotcha so i know you had an x-ray as you came in today and so i'm just looking at this x-ray here i'll show you on the screen right here i can turn my monitor towards you this is an ap lateral oblique and this is your right ankle so what we're looking at is a displaced lateral malleolus at the weber c level there's no evidence of medial or posterior malleolar fractures but this is a fracture on the lateral side of your ankle now based on the position it's a bit unstable that's why you're feeling some of that that instability when you're walking so for your diagnosis what i'm gon na put down is a lateral malleolar fracture and what i would recommend for that since it is in the location that it is is you're probably unfortunately gon na need surgery we're gon na wan na get that healed what that includes is putting some plate and some screws in and you're gon na be out for a little bit so i know you've been trying to work out and and you wan na get back on the court but but you may have to have to sit out for a little bit we'll get you some crutches</t>
        </is>
      </c>
    </row>
    <row r="22" ht="15" customHeight="1">
      <c r="C22" s="4" t="inlineStr">
        <is>
          <t>[patient] how long it's a little bit because i'm also i i forgot to say i'm also i did volunteer to coach</t>
        </is>
      </c>
    </row>
    <row r="23" ht="15" customHeight="1">
      <c r="C23" s="4" t="inlineStr">
        <is>
          <t>[doctor] great</t>
        </is>
      </c>
    </row>
    <row r="24" ht="15" customHeight="1">
      <c r="C24" s="4" t="inlineStr">
        <is>
          <t>[patient] starting in april so</t>
        </is>
      </c>
    </row>
    <row r="25" ht="15" customHeight="1">
      <c r="C25" s="4" t="inlineStr">
        <is>
          <t>[doctor] alright well</t>
        </is>
      </c>
    </row>
    <row r="26" ht="15" customHeight="1">
      <c r="C26" s="4" t="inlineStr">
        <is>
          <t>[patient] how long</t>
        </is>
      </c>
    </row>
    <row r="27" ht="60" customHeight="1">
      <c r="C27" s="4" t="inlineStr">
        <is>
          <t>[doctor] yeah you you're probably gon na be out for about three months but continue the coaching go ahead and and let's get you back out there we'll get you some crutches and and hopefully you can kinda you know get back on the court start coaching and then within that three months we'll we'll get you back out doing some exercise again</t>
        </is>
      </c>
    </row>
    <row r="28" ht="15" customHeight="1">
      <c r="C28" s="4" t="inlineStr">
        <is>
          <t>[patient] okay</t>
        </is>
      </c>
    </row>
    <row r="29" ht="45" customHeight="1">
      <c r="C29" s="4" t="inlineStr">
        <is>
          <t>[doctor] alright in the meantime i'm gon na prescribe some medication for now let's try meloxicam and try to get some of the swelling down i want you to ice it and also keep that that ankle elevated do you have a job where you can elevate your ankle regularly</t>
        </is>
      </c>
    </row>
    <row r="30" ht="45" customHeight="1">
      <c r="C30" s="4" t="inlineStr">
        <is>
          <t>[patient] yeah i i work from home so that that should n't be a problem it's just everything else i do n't know who is gon na walk my dogs and and do all this stuff that's rest of my family refuses to walk my dog so we'll figure it out</t>
        </is>
      </c>
    </row>
    <row r="31" ht="30" customHeight="1">
      <c r="C31" s="4" t="inlineStr">
        <is>
          <t>[doctor] yeah i i'm a dog walker as well so alright sorry for the bad news but let's get you healed up so that we can get you back out doing everything you need to do</t>
        </is>
      </c>
    </row>
    <row r="32" ht="15" customHeight="1">
      <c r="C32" s="4" t="inlineStr">
        <is>
          <t>[patient] alright thank you doctor</t>
        </is>
      </c>
    </row>
    <row r="33" ht="15" customHeight="1">
      <c r="C33" s="4" t="inlineStr">
        <is>
          <t>[doctor] alright thanks</t>
        </is>
      </c>
    </row>
    <row r="36">
      <c r="B36" s="9" t="inlineStr">
        <is>
          <t>REFERANSENOTAT (tgt – 'gold standard')</t>
        </is>
      </c>
    </row>
    <row r="37" ht="15" customHeight="1">
      <c r="C37" s="4" t="inlineStr">
        <is>
          <t>CHIEF COMPLAINT</t>
        </is>
      </c>
    </row>
    <row r="39" ht="15" customHeight="1">
      <c r="C39" s="4" t="inlineStr">
        <is>
          <t>Right ankle injury.</t>
        </is>
      </c>
    </row>
    <row r="41" ht="15" customHeight="1">
      <c r="C41" s="4" t="inlineStr">
        <is>
          <t>HISTORY OF PRESENT ILLNESS</t>
        </is>
      </c>
    </row>
    <row r="43" ht="15" customHeight="1">
      <c r="C43" s="4" t="inlineStr">
        <is>
          <t>Jerry Cook is a 45-year-old male who presents today with a right ankle injury.</t>
        </is>
      </c>
    </row>
    <row r="45" ht="75" customHeight="1">
      <c r="C45" s="4" t="inlineStr">
        <is>
          <t>The patient sustained an injury to the right ankle while playing basketball with his son. He reports he landed awkwardly and twisted his right ankle after jumping to make a layup. His pain is primarily located along the lateral aspect of the right ankle. He notes bruising and swelling. The patient is able to weight-bear while standing. He experiences pain and feelings of instability within the ankle while ambulating and is concerned for further injury.</t>
        </is>
      </c>
    </row>
    <row r="47" ht="15" customHeight="1">
      <c r="C47" s="4" t="inlineStr">
        <is>
          <t>SOCIAL HISTORY</t>
        </is>
      </c>
    </row>
    <row r="49" ht="30" customHeight="1">
      <c r="C49" s="4" t="inlineStr">
        <is>
          <t>The patient works from home and plans to coach his son’s basketball team in 04/2022. He enjoys working out and reports he recently resumed engaging in a consistent gym routine.</t>
        </is>
      </c>
    </row>
    <row r="51" ht="15" customHeight="1">
      <c r="C51" s="4" t="inlineStr">
        <is>
          <t>REVIEW OF SYSTEMS</t>
        </is>
      </c>
    </row>
    <row r="53" ht="15" customHeight="1">
      <c r="C53" s="4" t="inlineStr">
        <is>
          <t>Musculoskeletal: Reports right ankle pain and instability.</t>
        </is>
      </c>
    </row>
    <row r="54" ht="15" customHeight="1">
      <c r="C54" s="4" t="inlineStr">
        <is>
          <t>Skin: Reports right ankle bruising and swelling.</t>
        </is>
      </c>
    </row>
    <row r="56" ht="15" customHeight="1">
      <c r="C56" s="4" t="inlineStr">
        <is>
          <t>PHYSICAL EXAM</t>
        </is>
      </c>
    </row>
    <row r="58" ht="15" customHeight="1">
      <c r="C58" s="4" t="inlineStr">
        <is>
          <t>CV: Brisk capillary refill.</t>
        </is>
      </c>
    </row>
    <row r="59" ht="15" customHeight="1">
      <c r="C59" s="4" t="inlineStr">
        <is>
          <t>SKIN: No epidermolysis. Intact.</t>
        </is>
      </c>
    </row>
    <row r="60" ht="30" customHeight="1">
      <c r="C60" s="4" t="inlineStr">
        <is>
          <t>MSK: Examination of the right ankle: Exquisite tenderness laterally. Mild tenderness over the medial deltoid region. Swelling on the lateral side of the ankle. No horrible malalignment.</t>
        </is>
      </c>
    </row>
    <row r="62" ht="15" customHeight="1">
      <c r="C62" s="4" t="inlineStr">
        <is>
          <t>RESULTS</t>
        </is>
      </c>
    </row>
    <row r="64" ht="45" customHeight="1">
      <c r="C64" s="4" t="inlineStr">
        <is>
          <t>X-rays, including AP, lateral, and oblique views of the right ankle, were obtained in the office and reviewed today. These demonstrate a displaced lateral malleolus at the Weber C level. There is no evidence of medial or posterior malleolar fractures.</t>
        </is>
      </c>
    </row>
    <row r="66" ht="15" customHeight="1">
      <c r="C66" s="4" t="inlineStr">
        <is>
          <t>ASSESSMENT</t>
        </is>
      </c>
    </row>
    <row r="68" ht="15" customHeight="1">
      <c r="C68" s="4" t="inlineStr">
        <is>
          <t>Right lateral malleolar fracture.</t>
        </is>
      </c>
    </row>
    <row r="70" ht="15" customHeight="1">
      <c r="C70" s="4" t="inlineStr">
        <is>
          <t>PLAN</t>
        </is>
      </c>
    </row>
    <row r="72" ht="90" customHeight="1">
      <c r="C72" s="4" t="inlineStr">
        <is>
          <t>After reviewing the patient's examination and radiographic findings today, I have had a lengthy discussion with him regarding treatment options. Recommendation was made for an open reduction internal fixation of the right ankle. We discussed the risks and benefits of the procedure as well as the postoperative recovery period following surgery. I advised that it will be 3 months before he can resume his exercise routine. In the meantime, I will prescribe meloxicam to reduce swelling. I recommended he ice and elevate the ankle as well. He will be given crutches to assist with ambulation.</t>
        </is>
      </c>
    </row>
    <row r="74" ht="15" customHeight="1">
      <c r="C74" s="4" t="inlineStr">
        <is>
          <t>The patient understands and agrees with the recommended medical treatment plan.</t>
        </is>
      </c>
    </row>
    <row r="77">
      <c r="B77" s="9" t="inlineStr">
        <is>
          <t>GENERERTE SAMMENDRAG (per strategi)</t>
        </is>
      </c>
    </row>
    <row r="78" ht="165" customHeight="1">
      <c r="B78" s="10" t="inlineStr">
        <is>
          <t>01_zero_shot_minimal_baseline</t>
        </is>
      </c>
      <c r="C78" s="4" t="inlineStr">
        <is>
          <t>**S - Subjektive opplysninger**  
45 år gammel mann med ankelskade etter basketspill. Landet skjevt etter kontakt og vred/rullet høyre ankel. Oppgir smerter særlig på utsiden av ankelen, synlig blåmerke og hevelse. Har vansker med å gå; kan stå på foten, men det gjør vondt og ankelen kjennes ustabil.
**O - Objektive opplysninger**  
Klinisk sees hevelse lateralt ved ankelen. Uttalt palpasjonsømhet lateralt, noe ømhet medialt over deltoidregionen. Hud intakt, ingen feilstilling, brisk kapillærfylling. Røntgen av høyre ankel (AP/lateral/skrå) viser dislosert lateral malleolfraktur på Weber C-nivå. Ingen tegn til medial eller posterior malleolfraktur.
**A - Vurdering**  
Høyre lateral malleolfraktur, dislosert og vurdert som noe ustabil, forenlig med pasientens opplevelse av instabilitet ved belastning. Sannsynlig behov for operativ behandling.
**P - Plan**  
Anbefalt kirurgisk behandling med plate og skruer. Krykker ordnes. Meloksikam forskrives for smerte/hevelse. Råd om is og elevasjon. Pasienten kan trolig være ute av aktivitet i omtrent 3 måneder. Pasienten jobber hjemmefra og kan holde ankelen hevet.</t>
        </is>
      </c>
    </row>
    <row r="79" ht="300" customHeight="1">
      <c r="B79" s="10" t="inlineStr">
        <is>
          <t>02_zero_shot_structured_instruction</t>
        </is>
      </c>
      <c r="C79" s="4" t="inlineStr">
        <is>
          <t>S - Subjektive opplysninger:
- 45 år gammel mann med ankelskade etter basketspill. Landet skjevt etter kontakt og vred/vrikket ankelen.
- Oppgir smerter lateralt i ankelen, synlig blåmerke og hevelse, samt problemer med å gå. Kan stå på foten, men opplever smerte og at ankelen ikke føles stabil.
- Ønsker å komme tilbake til trening; opplyser også at han skal være frivillig trener fra april.
- Opplyser at han jobber hjemmefra og kan holde ankelen hevet.
O - Objektive opplysninger:
- Klinisk undersøkelse: uttalt ømhet lateralt, noe ømhet medialt over deltoidregionen. Hevelse lateralt. Hud intakt. Brisk kapillærfylning. Ingen uttalt feilstilling.
- Røntgen tatt i dag av høyre ankel (AP/lateral/skrå): dislosert lateral malleolfraktur på Weber C-nivå. Ingen tegn til medial eller posterior malleolfraktur.
A - Vurdering:
- Høyre lateral malleolfraktur, dislosert, vurdert som noe ustabil ut fra lokalisasjon og stilling. Dette samsvarer med pasientens opplevelse av instabilitet ved belastning.
- Det ble opplyst at pasienten sannsynligvis vil trenge kirurgi.
P - Plan:
- Krykker ordnes.
- Meloksikam foreskrives for smerter/hevelse.
- Råd om is og elevasjon av ankelen.
- Informert om forventet fravær fra aktivitet i omtrent 3 måneder, men kan fortsette med coaching etter evne.
- Videre plan er kirurgisk vurdering/behandling med plate og skruer ifølge legen.</t>
        </is>
      </c>
    </row>
    <row r="80" ht="300" customHeight="1">
      <c r="B80" s="10" t="inlineStr">
        <is>
          <t>03_one_shot</t>
        </is>
      </c>
      <c r="C80" s="4" t="inlineStr">
        <is>
          <t>S - Subjektive opplysninger:
- Kontaktårsak: ankelskade etter basketspill.
- Pasienten oppgir at han landet skjevt og vridde/rullet høyre ankel etter kontakt under spill. Smerter særlig på utsiden av ankelen, med synlig blåmerke og hevelse.
- Oppgir vansker med å gå. Kan stå på ankelen og gå på den, men det gjør vondt og ankelen kjennes ikke stabil/solid.
- Opplyser at han nylig har begynt å trene igjen og er bekymret for avbrudd. Har også meldt seg som trener fra april.
O - Objektive opplysninger:
- Ved undersøkelse: uttalt ømhet lateralt over ankelen, noe ømhet medialt over deltoidregionen. Hevelse lateralt. Hud intakt. Brisk kapillærfylling. Ingen uttalt feilstilling.
- Røntgen tatt ved ankomst: høyre ankel, AP/lateral/oblique. Viser dislosert lateral malleolfraktur på Weber C-nivå. Ingen tegn til medial eller posterior malleolfraktur.
A - Vurdering:
- Høyre lateral malleolfraktur. Legen vurderer frakturen som noe ustabil basert på posisjon og pasientens opplevelse av instabilitet ved gange.
- Legen vurderer at pasienten sannsynligvis vil trenge kirurgi.
P - Plan:
- Anbefales kirurgisk behandling; legen opplyser at dette trolig vil innebære plate og skruer.
- Krykker ordnes.
- Meloksikam forskrives.
- Råd om ising og elevasjon av ankelen.
- Legen opplyser at pasienten sannsynligvis vil være ute av aktivitet i omtrent 3 måneder, men kan fortsette med coaching.</t>
        </is>
      </c>
    </row>
    <row r="81" ht="330" customHeight="1">
      <c r="B81" s="10" t="inlineStr">
        <is>
          <t>04_two_shot</t>
        </is>
      </c>
      <c r="C81" s="4" t="inlineStr">
        <is>
          <t>S - Subjektive opplysninger:
- 45 år gammel mann med ankelskade etter basketspill. Oppgir at han landet skjevt og vridde/rullet høyre ankel.
- Smerter særlig på utsiden av ankelen, samt synlig blåmerke og hevelse.
- Oppgir vansker med å gå; kan stå på ankelen, men det gjør vondt og kjennes ustabilt/ikke solid.
- Ønsker å komme tilbake til trening; opplyser også at han skal være trener fra april.
- Oppgir at han jobber hjemmefra og derfor kan holde ankelen hevet.
O - Objektive opplysninger:
- Klinisk undersøkelse: uttalt ømhet lateralt over ankelen, noe ømhet medialt over deltoidregionen. Hevelse lateralt. Hud intakt. Brisk kapillærfylning. Ingen uttalt feilstilling.
- Røntgen tatt tidligere samme dag: høyre ankel, AP/lateral/oblique. Viser dislosert lateral malleolfraktur på Weber C-nivå. Ingen tegn til medial eller posterior malleolfraktur.
- Legen vurderer frakturen som noe ustabil basert på stillingen.
A - Vurdering:
- Høyre lateral malleolfraktur (Weber C), dislosert og vurdert som ustabil, forenlig med smerter, hevelse og instabilitetsfølelse ved belastning.
- Legen vurderer at pasienten sannsynligvis vil trenge operasjon med plate og skruer.
P - Plan:
- Krykker.
- Meloksikam forskrives for smerter/hevelse.
- Råd om ising og elevasjon av ankelen.
- Informert om forventet fravær fra aktivitet i omtrent 3 måneder, men kan fortsette med coaching.
- Videre plan er kirurgisk behandling ifølge legens anbefaling.</t>
        </is>
      </c>
    </row>
    <row r="82" ht="300" customHeight="1">
      <c r="B82" s="10" t="inlineStr">
        <is>
          <t>05_two_shot_decomposition</t>
        </is>
      </c>
      <c r="C82" s="4" t="inlineStr">
        <is>
          <t>S - Subjektive opplysninger:
- 45 år gammel mann med ankelskade etter basketspill. Oppgir at han landet skjevt og vridde/rullet høyre ankel.
- Smerter lateralt i ankelen, synlig blåmerke og hevelse. Oppgir vansker med å gå, men kan stå på foten. Beskriver at ankelen ikke føles stabil og at han er redd for å skade den mer ved belastning.
- Opplyser at han nylig har begynt å trene igjen og er bekymret for avbrudd. Har også meldt seg som trener fra april.
- Oppgir at han jobber hjemmefra og kan holde ankelen hevet.
O - Objektive opplysninger:
- Klinisk undersøkelse: uttalt ømhet lateralt over ankelen, noe ømhet medialt over deltoidregionen. Hevelse lateralt. Hud intakt. Brisk kapillærfylning. Ingen uttalt feilstilling.
- Røntgen tatt i dag av høyre ankel (AP/lateral/oblique) viser dislosert lateral malleolfraktur på Weber C-nivå. Ingen tegn til medial eller posterior malleolfraktur.
- Legen vurderer frakturen som noe ustabil.
A - Vurdering:
- Høyre lateral malleolfraktur etter vridningstraume. Basert på røntgen og opplevd instabilitet vurderes frakturen som ustabil.
- Legen opplyser at pasienten sannsynligvis vil trenge operasjon med plate og skruer.
P - Plan:
- Krykker.
- Meloksikam foreskrives for smerter/hevelse.
- Råd om is og elevasjon av ankelen.
- Informert om forventet fravær fra trening/belastende aktivitet i omtrent 3 måneder.</t>
        </is>
      </c>
    </row>
    <row r="83" ht="300" customHeight="1">
      <c r="B83" s="10" t="inlineStr">
        <is>
          <t>06_two_shot_self_criticism</t>
        </is>
      </c>
      <c r="C83" s="4" t="inlineStr">
        <is>
          <t>S - Subjektive opplysninger:
- 45 år gammel mann med ankelskade etter basketspill. Oppgir at han landet skjevt og vridde/rullet høyre ankel.
- Smerter særlig på utsiden av ankelen, samt synlig blåmerke og hevelse.
- Oppgir vansker med å gå. Kan stå på ankelen, men det gjør vondt og ankelen kjennes ustabil/ikke solid.
- Opplyser at han jobber hjemmefra og derfor kan holde ankelen hevet.
O - Objektive opplysninger:
- Klinisk undersøkelse: uttalt ømhet lateralt over ankelen, noe ømhet medialt over deltoidregionen. Hevelse lateralt. Hud intakt. Brisk kapillærfylling. Ingen uttalt feilstilling.
- Røntgen tatt ved ankomst: høyre ankel, AP/lateral/oblique. Viser dislosert lateral malleolfraktur på Weber C-nivå. Ingen tegn til medial eller posterior malleolfraktur.
A - Vurdering:
- Høyre lateral malleolfraktur, dislosert på Weber C-nivå. Legen vurderer frakturen som noe ustabil, forenlig med pasientens opplevelse av instabilitet ved belastning.
- Det opplyses at pasienten sannsynligvis vil trenge kirurgi med plate og skruer.
P - Plan:
- Krykker.
- Meloksikam foreskrives for smerter/hevelse.
- Råd om is og elevasjon av ankelen.
- Informert om forventet fravær fra trening/idrett i omtrent 3 måneder.
- Plan om kirurgisk behandling vurderes som sannsynlig nødvendig.</t>
        </is>
      </c>
    </row>
    <row r="84" ht="270" customHeight="1">
      <c r="B84" s="10" t="inlineStr">
        <is>
          <t>07_two_shot_decomposition_self_criticism</t>
        </is>
      </c>
      <c r="C84" s="4" t="inlineStr">
        <is>
          <t>S - Subjektive opplysninger:
- Kontaktårsak: ankelskade etter vridning/overtråkk under basketball.
- Pasienten oppgir at han landet skjevt og vred ankelen, med smerter særlig på utsiden, synlig blåmerke og hevelse.
- Oppgir vansker med å gå. Kan stå på ankelen, men det gjør vondt og ankelen kjennes ikke stabil/solid, med bekymring for å skade den mer.
O - Objektive opplysninger:
- Klinisk undersøkelse: uttalt ømhet lateralt over ankelen, noe ømhet medialt over deltoidregionen. Hevelse lateralt. Hud intakt. Brisk kapillærfylling. Ingen uttalt feilstilling.
- Røntgen tatt ved ankomst: dislosert lateral malleolfraktur på Weber C-nivå i høyre ankel. Ingen tegn til medial eller posterior malleolfraktur.
A - Vurdering:
- Høyre lateral malleolfraktur (Weber C), vurdert som noe ustabil ut fra lokalisasjon/stilling og samsvarende med pasientens opplevelse av instabilitet ved belastning.
- Lege vurderer at pasienten sannsynligvis vil trenge kirurgi med plate og skruer.
P - Plan:
- Krykker.
- Meloksikam foreskrives.
- Råd om ising og elevasjon av ankelen.
- Informert om forventet fravær fra aktivitet/trening i omtrent 3 måneder.</t>
        </is>
      </c>
    </row>
    <row r="85" ht="285" customHeight="1">
      <c r="B85" s="10" t="inlineStr">
        <is>
          <t>08_two_shot_decomposition_self_criticism_ensemble</t>
        </is>
      </c>
      <c r="C85" s="4" t="inlineStr">
        <is>
          <t>S - Subjektive opplysninger:
- Oppsøker for ankelskade etter at han landet skjevt og vridde/rullet høyre ankel under basketball. Oppgir smerter særlig på utsiden av ankelen, synlig blåmerke og hevelse.
- Har vansker med å gå. Kan stå på ankelen, men opplever smerte og at ankelen ikke føles stabil/solid.
- Opplyser at han nylig har begynt å trene igjen og er bekymret for avbrudd. Opplyser også at han skal være trener fra april.
O - Objektive opplysninger:
- Klinisk undersøkelse: uttalt ømhet lateralt over ankelen, noe ømhet medialt over deltoidregionen. Hevelse lateralt. Hud intakt. Brisk kapillærfylning. Ingen uttalt feilstilling.
- Røntgen tatt ved ankomst: høyre ankel, AP/lateral/oblique. Viser dislosert lateral malleolfraktur på Weber C-nivå. Ingen tegn til medial eller posterior malleolfraktur.
A - Vurdering:
- Høyre lateral malleolfraktur, beskrevet som dislosert Weber C-fraktur. Legen vurderer frakturen som noe ustabil, forenlig med pasientens opplevelse av instabilitet ved belastning.
- Legen vurderer at pasienten sannsynligvis vil trenge kirurgi med plate og skruer.
P - Plan:
- Krykker.
- Meloksikam foreskrives for smerter/hevelse.
- Råd om is og elevasjon av ankelen.
- Informert om forventet fravær fra aktivitet i omtrent 3 måneder, men kan fortsette med coaching etter evne.
- Videre plan ifølge legen er sannsynlig operativ behandling.</t>
        </is>
      </c>
    </row>
  </sheetData>
  <mergeCells count="3">
    <mergeCell ref="B77:C77"/>
    <mergeCell ref="B36:C36"/>
    <mergeCell ref="B4:C4"/>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13"/>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30" customWidth="1" min="1" max="1"/>
    <col width="60" customWidth="1" min="2" max="2"/>
    <col width="12" customWidth="1" min="3" max="3"/>
    <col width="12" customWidth="1" min="4" max="4"/>
    <col width="12" customWidth="1" min="5" max="5"/>
    <col width="12" customWidth="1" min="6" max="6"/>
    <col width="12" customWidth="1" min="7" max="7"/>
    <col width="12" customWidth="1" min="8" max="8"/>
    <col width="12" customWidth="1" min="9" max="9"/>
    <col width="11" customWidth="1" min="10" max="10"/>
    <col width="12" customWidth="1" min="11" max="11"/>
    <col width="11" customWidth="1" min="12" max="12"/>
    <col width="11" customWidth="1" min="13" max="13"/>
    <col width="12" customWidth="1" min="14" max="14"/>
    <col width="50" customWidth="1" min="15" max="15"/>
  </cols>
  <sheetData>
    <row r="1">
      <c r="A1" s="8" t="inlineStr">
        <is>
          <t>Samtale 1: 0-aci – manuell scoring</t>
        </is>
      </c>
    </row>
    <row r="2">
      <c r="A2" s="2" t="inlineStr">
        <is>
          <t>Fyll inn tall i gule celler. Grå = utregnet. Grønn = kommentarer.</t>
        </is>
      </c>
    </row>
    <row r="3">
      <c r="A3" s="2" t="inlineStr">
        <is>
          <t>Se «Samtale 1 – Transkript» for samtalen og referansenotatet.</t>
        </is>
      </c>
    </row>
    <row r="5" ht="50" customHeight="1">
      <c r="A5" s="11" t="inlineStr">
        <is>
          <t>Strategi</t>
        </is>
      </c>
      <c r="B5" s="11" t="inlineStr">
        <is>
          <t>Sammendrag (utdrag)</t>
        </is>
      </c>
      <c r="C5" s="11" t="inlineStr">
        <is>
          <t>Forankring
(citation)
1-5</t>
        </is>
      </c>
      <c r="D5" s="11" t="inlineStr">
        <is>
          <t>Nøyaktighet
(accurate)
1-5</t>
        </is>
      </c>
      <c r="E5" s="11" t="inlineStr">
        <is>
          <t>Grundighet
(thorough)
1-5</t>
        </is>
      </c>
      <c r="F5" s="11" t="inlineStr">
        <is>
          <t>Nytteverdi
(useful)
1-5</t>
        </is>
      </c>
      <c r="G5" s="11" t="inlineStr">
        <is>
          <t>Organisert
(organized)
1-5</t>
        </is>
      </c>
      <c r="H5" s="11" t="inlineStr">
        <is>
          <t>Forståelig
(comprehensible)
1-5</t>
        </is>
      </c>
      <c r="I5" s="11" t="inlineStr">
        <is>
          <t>Kortfattet
(succinct)
1-5</t>
        </is>
      </c>
      <c r="J5" s="11" t="inlineStr">
        <is>
          <t>Syntese nødvendig?
(abstraction)
0/1</t>
        </is>
      </c>
      <c r="K5" s="11" t="inlineStr">
        <is>
          <t>Synteseutførelse
(synthesized)
1-5/blank</t>
        </is>
      </c>
      <c r="L5" s="11" t="inlineStr">
        <is>
          <t>Stigma i sammendrag
(voice_summ)
0/1</t>
        </is>
      </c>
      <c r="M5" s="11" t="inlineStr">
        <is>
          <t>Stigma i transkript
(voice_note)
0/1</t>
        </is>
      </c>
      <c r="N5" s="11" t="inlineStr">
        <is>
          <t>Primary score
(snitt)</t>
        </is>
      </c>
      <c r="O5" s="11" t="inlineStr">
        <is>
          <t>Kommentar</t>
        </is>
      </c>
    </row>
    <row r="6" ht="210" customHeight="1">
      <c r="A6" s="12" t="inlineStr">
        <is>
          <t>01_zero_shot_minimal_baseline</t>
        </is>
      </c>
      <c r="B6" s="13" t="inlineStr">
        <is>
          <t>**S - Subjektive opplysninger**  
45 år gammel mann med ankelskade etter basketspill. Landet skjevt etter kontakt og vred/rullet høyre ankel. Oppgir smerter særlig på utsiden av ankelen, synlig blåmerke og hevelse. Har vansker med å gå; kan stå på foten, men det gjør vondt og ankelen kjennes ustabil.
**O - Objektive opplysninger**  
Klinisk sees hevelse lateralt ved ankelen. Uttalt palpasjonsømhet lateralt, noe ømhet medialt over deltoidregionen. Hud intakt, ingen feilstilling, brisk kapillærfylling. Røntgen av høyre ankel (AP/lateral/skrå) viser dislosert lateral malleolfraktur på Weber C-nivå. Ingen tegn til medial eller posterior malleolfraktur.
**A - Vurdering**  
Høyre lateral malleolfraktur, dislosert og vurdert som noe ustabil, forenlig med pasientens opplevelse av instabilitet ve…</t>
        </is>
      </c>
      <c r="C6" s="14" t="n"/>
      <c r="D6" s="14" t="n"/>
      <c r="E6" s="14" t="n"/>
      <c r="F6" s="14" t="n"/>
      <c r="G6" s="14" t="n"/>
      <c r="H6" s="14" t="n"/>
      <c r="I6" s="14" t="n"/>
      <c r="J6" s="14" t="n"/>
      <c r="K6" s="14" t="n"/>
      <c r="L6" s="14" t="n"/>
      <c r="M6" s="14" t="n"/>
      <c r="N6" s="15">
        <f>IF(COUNT(C6:I6)&lt;7,"",IF(J6=1,IF(ISNUMBER(K6),ROUND((SUM(C6:I6)+K6)/8,4),"venter på synthesized"),ROUND(AVERAGE(C6:I6),4)))</f>
        <v/>
      </c>
      <c r="O6" s="16" t="n"/>
    </row>
    <row r="7" ht="210" customHeight="1">
      <c r="A7" s="12" t="inlineStr">
        <is>
          <t>02_zero_shot_structured_instruction</t>
        </is>
      </c>
      <c r="B7" s="13" t="inlineStr">
        <is>
          <t>S - Subjektive opplysninger:
- 45 år gammel mann med ankelskade etter basketspill. Landet skjevt etter kontakt og vred/vrikket ankelen.
- Oppgir smerter lateralt i ankelen, synlig blåmerke og hevelse, samt problemer med å gå. Kan stå på foten, men opplever smerte og at ankelen ikke føles stabil.
- Ønsker å komme tilbake til trening; opplyser også at han skal være frivillig trener fra april.
- Opplyser at han jobber hjemmefra og kan holde ankelen hevet.
O - Objektive opplysninger:
- Klinisk undersøkelse: uttalt ømhet lateralt, noe ømhet medialt over deltoidregionen. Hevelse lateralt. Hud intakt. Brisk kapillærfylning. Ingen uttalt feilstilling.
- Røntgen tatt i dag av høyre ankel (AP/lateral/skrå): dislosert lateral malleolfraktur på Weber C-nivå. Ingen tegn til medial eller posterior mall…</t>
        </is>
      </c>
      <c r="C7" s="14" t="n"/>
      <c r="D7" s="14" t="n"/>
      <c r="E7" s="14" t="n"/>
      <c r="F7" s="14" t="n"/>
      <c r="G7" s="14" t="n"/>
      <c r="H7" s="14" t="n"/>
      <c r="I7" s="14" t="n"/>
      <c r="J7" s="14" t="n"/>
      <c r="K7" s="14" t="n"/>
      <c r="L7" s="14" t="n"/>
      <c r="M7" s="14" t="n"/>
      <c r="N7" s="15">
        <f>IF(COUNT(C7:I7)&lt;7,"",IF(J7=1,IF(ISNUMBER(K7),ROUND((SUM(C7:I7)+K7)/8,4),"venter på synthesized"),ROUND(AVERAGE(C7:I7),4)))</f>
        <v/>
      </c>
      <c r="O7" s="16" t="n"/>
    </row>
    <row r="8" ht="210" customHeight="1">
      <c r="A8" s="12" t="inlineStr">
        <is>
          <t>03_one_shot</t>
        </is>
      </c>
      <c r="B8" s="13" t="inlineStr">
        <is>
          <t>S - Subjektive opplysninger:
- Kontaktårsak: ankelskade etter basketspill.
- Pasienten oppgir at han landet skjevt og vridde/rullet høyre ankel etter kontakt under spill. Smerter særlig på utsiden av ankelen, med synlig blåmerke og hevelse.
- Oppgir vansker med å gå. Kan stå på ankelen og gå på den, men det gjør vondt og ankelen kjennes ikke stabil/solid.
- Opplyser at han nylig har begynt å trene igjen og er bekymret for avbrudd. Har også meldt seg som trener fra april.
O - Objektive opplysninger:
- Ved undersøkelse: uttalt ømhet lateralt over ankelen, noe ømhet medialt over deltoidregionen. Hevelse lateralt. Hud intakt. Brisk kapillærfylling. Ingen uttalt feilstilling.
- Røntgen tatt ved ankomst: høyre ankel, AP/lateral/oblique. Viser dislosert lateral malleolfraktur på Weber C-nivå. In…</t>
        </is>
      </c>
      <c r="C8" s="14" t="n"/>
      <c r="D8" s="14" t="n"/>
      <c r="E8" s="14" t="n"/>
      <c r="F8" s="14" t="n"/>
      <c r="G8" s="14" t="n"/>
      <c r="H8" s="14" t="n"/>
      <c r="I8" s="14" t="n"/>
      <c r="J8" s="14" t="n"/>
      <c r="K8" s="14" t="n"/>
      <c r="L8" s="14" t="n"/>
      <c r="M8" s="14" t="n"/>
      <c r="N8" s="15">
        <f>IF(COUNT(C8:I8)&lt;7,"",IF(J8=1,IF(ISNUMBER(K8),ROUND((SUM(C8:I8)+K8)/8,4),"venter på synthesized"),ROUND(AVERAGE(C8:I8),4)))</f>
        <v/>
      </c>
      <c r="O8" s="16" t="n"/>
    </row>
    <row r="9" ht="210" customHeight="1">
      <c r="A9" s="12" t="inlineStr">
        <is>
          <t>04_two_shot</t>
        </is>
      </c>
      <c r="B9" s="13" t="inlineStr">
        <is>
          <t>S - Subjektive opplysninger:
- 45 år gammel mann med ankelskade etter basketspill. Oppgir at han landet skjevt og vridde/rullet høyre ankel.
- Smerter særlig på utsiden av ankelen, samt synlig blåmerke og hevelse.
- Oppgir vansker med å gå; kan stå på ankelen, men det gjør vondt og kjennes ustabilt/ikke solid.
- Ønsker å komme tilbake til trening; opplyser også at han skal være trener fra april.
- Oppgir at han jobber hjemmefra og derfor kan holde ankelen hevet.
O - Objektive opplysninger:
- Klinisk undersøkelse: uttalt ømhet lateralt over ankelen, noe ømhet medialt over deltoidregionen. Hevelse lateralt. Hud intakt. Brisk kapillærfylning. Ingen uttalt feilstilling.
- Røntgen tatt tidligere samme dag: høyre ankel, AP/lateral/oblique. Viser dislosert lateral malleolfraktur på Weber C-nivå.…</t>
        </is>
      </c>
      <c r="C9" s="14" t="n"/>
      <c r="D9" s="14" t="n"/>
      <c r="E9" s="14" t="n"/>
      <c r="F9" s="14" t="n"/>
      <c r="G9" s="14" t="n"/>
      <c r="H9" s="14" t="n"/>
      <c r="I9" s="14" t="n"/>
      <c r="J9" s="14" t="n"/>
      <c r="K9" s="14" t="n"/>
      <c r="L9" s="14" t="n"/>
      <c r="M9" s="14" t="n"/>
      <c r="N9" s="15">
        <f>IF(COUNT(C9:I9)&lt;7,"",IF(J9=1,IF(ISNUMBER(K9),ROUND((SUM(C9:I9)+K9)/8,4),"venter på synthesized"),ROUND(AVERAGE(C9:I9),4)))</f>
        <v/>
      </c>
      <c r="O9" s="16" t="n"/>
    </row>
    <row r="10" ht="210" customHeight="1">
      <c r="A10" s="12" t="inlineStr">
        <is>
          <t>05_two_shot_decomposition</t>
        </is>
      </c>
      <c r="B10" s="13" t="inlineStr">
        <is>
          <t>S - Subjektive opplysninger:
- 45 år gammel mann med ankelskade etter basketspill. Oppgir at han landet skjevt og vridde/rullet høyre ankel.
- Smerter lateralt i ankelen, synlig blåmerke og hevelse. Oppgir vansker med å gå, men kan stå på foten. Beskriver at ankelen ikke føles stabil og at han er redd for å skade den mer ved belastning.
- Opplyser at han nylig har begynt å trene igjen og er bekymret for avbrudd. Har også meldt seg som trener fra april.
- Oppgir at han jobber hjemmefra og kan holde ankelen hevet.
O - Objektive opplysninger:
- Klinisk undersøkelse: uttalt ømhet lateralt over ankelen, noe ømhet medialt over deltoidregionen. Hevelse lateralt. Hud intakt. Brisk kapillærfylning. Ingen uttalt feilstilling.
- Røntgen tatt i dag av høyre ankel (AP/lateral/oblique) viser dislosert …</t>
        </is>
      </c>
      <c r="C10" s="14" t="n"/>
      <c r="D10" s="14" t="n"/>
      <c r="E10" s="14" t="n"/>
      <c r="F10" s="14" t="n"/>
      <c r="G10" s="14" t="n"/>
      <c r="H10" s="14" t="n"/>
      <c r="I10" s="14" t="n"/>
      <c r="J10" s="14" t="n"/>
      <c r="K10" s="14" t="n"/>
      <c r="L10" s="14" t="n"/>
      <c r="M10" s="14" t="n"/>
      <c r="N10" s="15">
        <f>IF(COUNT(C10:I10)&lt;7,"",IF(J10=1,IF(ISNUMBER(K10),ROUND((SUM(C10:I10)+K10)/8,4),"venter på synthesized"),ROUND(AVERAGE(C10:I10),4)))</f>
        <v/>
      </c>
      <c r="O10" s="16" t="n"/>
    </row>
    <row r="11" ht="210" customHeight="1">
      <c r="A11" s="12" t="inlineStr">
        <is>
          <t>06_two_shot_self_criticism</t>
        </is>
      </c>
      <c r="B11" s="13" t="inlineStr">
        <is>
          <t>S - Subjektive opplysninger:
- 45 år gammel mann med ankelskade etter basketspill. Oppgir at han landet skjevt og vridde/rullet høyre ankel.
- Smerter særlig på utsiden av ankelen, samt synlig blåmerke og hevelse.
- Oppgir vansker med å gå. Kan stå på ankelen, men det gjør vondt og ankelen kjennes ustabil/ikke solid.
- Opplyser at han jobber hjemmefra og derfor kan holde ankelen hevet.
O - Objektive opplysninger:
- Klinisk undersøkelse: uttalt ømhet lateralt over ankelen, noe ømhet medialt over deltoidregionen. Hevelse lateralt. Hud intakt. Brisk kapillærfylling. Ingen uttalt feilstilling.
- Røntgen tatt ved ankomst: høyre ankel, AP/lateral/oblique. Viser dislosert lateral malleolfraktur på Weber C-nivå. Ingen tegn til medial eller posterior malleolfraktur.
A - Vurdering:
- Høyre lateral…</t>
        </is>
      </c>
      <c r="C11" s="14" t="n"/>
      <c r="D11" s="14" t="n"/>
      <c r="E11" s="14" t="n"/>
      <c r="F11" s="14" t="n"/>
      <c r="G11" s="14" t="n"/>
      <c r="H11" s="14" t="n"/>
      <c r="I11" s="14" t="n"/>
      <c r="J11" s="14" t="n"/>
      <c r="K11" s="14" t="n"/>
      <c r="L11" s="14" t="n"/>
      <c r="M11" s="14" t="n"/>
      <c r="N11" s="15">
        <f>IF(COUNT(C11:I11)&lt;7,"",IF(J11=1,IF(ISNUMBER(K11),ROUND((SUM(C11:I11)+K11)/8,4),"venter på synthesized"),ROUND(AVERAGE(C11:I11),4)))</f>
        <v/>
      </c>
      <c r="O11" s="16" t="n"/>
    </row>
    <row r="12" ht="210" customHeight="1">
      <c r="A12" s="12" t="inlineStr">
        <is>
          <t>07_two_shot_decomposition_self_criticism</t>
        </is>
      </c>
      <c r="B12" s="13" t="inlineStr">
        <is>
          <t>S - Subjektive opplysninger:
- Kontaktårsak: ankelskade etter vridning/overtråkk under basketball.
- Pasienten oppgir at han landet skjevt og vred ankelen, med smerter særlig på utsiden, synlig blåmerke og hevelse.
- Oppgir vansker med å gå. Kan stå på ankelen, men det gjør vondt og ankelen kjennes ikke stabil/solid, med bekymring for å skade den mer.
O - Objektive opplysninger:
- Klinisk undersøkelse: uttalt ømhet lateralt over ankelen, noe ømhet medialt over deltoidregionen. Hevelse lateralt. Hud intakt. Brisk kapillærfylling. Ingen uttalt feilstilling.
- Røntgen tatt ved ankomst: dislosert lateral malleolfraktur på Weber C-nivå i høyre ankel. Ingen tegn til medial eller posterior malleolfraktur.
A - Vurdering:
- Høyre lateral malleolfraktur (Weber C), vurdert som noe ustabil ut fra lo…</t>
        </is>
      </c>
      <c r="C12" s="14" t="n"/>
      <c r="D12" s="14" t="n"/>
      <c r="E12" s="14" t="n"/>
      <c r="F12" s="14" t="n"/>
      <c r="G12" s="14" t="n"/>
      <c r="H12" s="14" t="n"/>
      <c r="I12" s="14" t="n"/>
      <c r="J12" s="14" t="n"/>
      <c r="K12" s="14" t="n"/>
      <c r="L12" s="14" t="n"/>
      <c r="M12" s="14" t="n"/>
      <c r="N12" s="15">
        <f>IF(COUNT(C12:I12)&lt;7,"",IF(J12=1,IF(ISNUMBER(K12),ROUND((SUM(C12:I12)+K12)/8,4),"venter på synthesized"),ROUND(AVERAGE(C12:I12),4)))</f>
        <v/>
      </c>
      <c r="O12" s="16" t="n"/>
    </row>
    <row r="13" ht="210" customHeight="1">
      <c r="A13" s="12" t="inlineStr">
        <is>
          <t>08_two_shot_decomposition_self_criticism_ensemble</t>
        </is>
      </c>
      <c r="B13" s="13" t="inlineStr">
        <is>
          <t>S - Subjektive opplysninger:
- Oppsøker for ankelskade etter at han landet skjevt og vridde/rullet høyre ankel under basketball. Oppgir smerter særlig på utsiden av ankelen, synlig blåmerke og hevelse.
- Har vansker med å gå. Kan stå på ankelen, men opplever smerte og at ankelen ikke føles stabil/solid.
- Opplyser at han nylig har begynt å trene igjen og er bekymret for avbrudd. Opplyser også at han skal være trener fra april.
O - Objektive opplysninger:
- Klinisk undersøkelse: uttalt ømhet lateralt over ankelen, noe ømhet medialt over deltoidregionen. Hevelse lateralt. Hud intakt. Brisk kapillærfylning. Ingen uttalt feilstilling.
- Røntgen tatt ved ankomst: høyre ankel, AP/lateral/oblique. Viser dislosert lateral malleolfraktur på Weber C-nivå. Ingen tegn til medial eller posterior malle…</t>
        </is>
      </c>
      <c r="C13" s="14" t="n"/>
      <c r="D13" s="14" t="n"/>
      <c r="E13" s="14" t="n"/>
      <c r="F13" s="14" t="n"/>
      <c r="G13" s="14" t="n"/>
      <c r="H13" s="14" t="n"/>
      <c r="I13" s="14" t="n"/>
      <c r="J13" s="14" t="n"/>
      <c r="K13" s="14" t="n"/>
      <c r="L13" s="14" t="n"/>
      <c r="M13" s="14" t="n"/>
      <c r="N13" s="15">
        <f>IF(COUNT(C13:I13)&lt;7,"",IF(J13=1,IF(ISNUMBER(K13),ROUND((SUM(C13:I13)+K13)/8,4),"venter på synthesized"),ROUND(AVERAGE(C13:I13),4)))</f>
        <v/>
      </c>
      <c r="O13" s="16" t="n"/>
    </row>
  </sheetData>
  <mergeCells count="3">
    <mergeCell ref="A1:O1"/>
    <mergeCell ref="A3:O3"/>
    <mergeCell ref="A2:O2"/>
  </mergeCells>
  <conditionalFormatting sqref="C6:C13">
    <cfRule type="expression" priority="1" dxfId="0">
      <formula>ISBLANK(C6)</formula>
    </cfRule>
  </conditionalFormatting>
  <conditionalFormatting sqref="D6:D13">
    <cfRule type="expression" priority="2" dxfId="0">
      <formula>ISBLANK(D6)</formula>
    </cfRule>
  </conditionalFormatting>
  <conditionalFormatting sqref="E6:E13">
    <cfRule type="expression" priority="3" dxfId="0">
      <formula>ISBLANK(E6)</formula>
    </cfRule>
  </conditionalFormatting>
  <conditionalFormatting sqref="F6:F13">
    <cfRule type="expression" priority="4" dxfId="0">
      <formula>ISBLANK(F6)</formula>
    </cfRule>
  </conditionalFormatting>
  <conditionalFormatting sqref="G6:G13">
    <cfRule type="expression" priority="5" dxfId="0">
      <formula>ISBLANK(G6)</formula>
    </cfRule>
  </conditionalFormatting>
  <conditionalFormatting sqref="H6:H13">
    <cfRule type="expression" priority="6" dxfId="0">
      <formula>ISBLANK(H6)</formula>
    </cfRule>
  </conditionalFormatting>
  <conditionalFormatting sqref="I6:I13">
    <cfRule type="expression" priority="7" dxfId="0">
      <formula>ISBLANK(I6)</formula>
    </cfRule>
  </conditionalFormatting>
  <conditionalFormatting sqref="J6:J13">
    <cfRule type="expression" priority="8" dxfId="0">
      <formula>ISBLANK(J6)</formula>
    </cfRule>
  </conditionalFormatting>
  <conditionalFormatting sqref="L6:L13">
    <cfRule type="expression" priority="9" dxfId="0">
      <formula>ISBLANK(L6)</formula>
    </cfRule>
  </conditionalFormatting>
  <conditionalFormatting sqref="M6:M13">
    <cfRule type="expression" priority="10" dxfId="0">
      <formula>ISBLANK(M6)</formula>
    </cfRule>
  </conditionalFormatting>
  <dataValidations count="3">
    <dataValidation sqref="C6 C7 C8 C9 C10 C11 C12 C13 D6 D7 D8 D9 D10 D11 D12 D13 E6 E7 E8 E9 E10 E11 E12 E13 F6 F7 F8 F9 F10 F11 F12 F13 G6 G7 G8 G9 G10 G11 G12 G13 H6 H7 H8 H9 H10 H11 H12 H13 I6 I7 I8 I9 I10 I11 I12 I13" showDropDown="0" showInputMessage="0" showErrorMessage="0" allowBlank="0" errorTitle="Ugyldig" error="Skriv et heltall mellom 1 og 5." type="whole" operator="between">
      <formula1>1</formula1>
      <formula2>5</formula2>
    </dataValidation>
    <dataValidation sqref="J6 J7 J8 J9 J10 J11 J12 J13 L6 L7 L8 L9 L10 L11 L12 L13 M6 M7 M8 M9 M10 M11 M12 M13" showDropDown="0" showInputMessage="0" showErrorMessage="0" allowBlank="0" errorTitle="Ugyldig" error="Skriv 0 eller 1." type="whole" operator="between">
      <formula1>0</formula1>
      <formula2>1</formula2>
    </dataValidation>
    <dataValidation sqref="K6 K7 K8 K9 K10 K11 K12 K13" showDropDown="0" showInputMessage="0" showErrorMessage="0" allowBlank="1" errorTitle="Ugyldig" error="Skriv et heltall 1-5, eller la cellen stå tom." type="whole" operator="between">
      <formula1>1</formula1>
      <formula2>5</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B1:C134"/>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4" customWidth="1" min="1" max="1"/>
    <col width="24" customWidth="1" min="2" max="2"/>
    <col width="110" customWidth="1" min="3" max="3"/>
  </cols>
  <sheetData>
    <row r="1">
      <c r="B1" s="8" t="inlineStr">
        <is>
          <t>Samtale 2: 1-aci</t>
        </is>
      </c>
    </row>
    <row r="2">
      <c r="B2" s="2" t="inlineStr">
        <is>
          <t>Gå til scoring-fanen «Samtale 2 – Scoring» når du har lest gjennom.</t>
        </is>
      </c>
    </row>
    <row r="4">
      <c r="B4" s="9" t="inlineStr">
        <is>
          <t>TRANSKRIPT (kildesamtale)</t>
        </is>
      </c>
    </row>
    <row r="5" ht="30" customHeight="1">
      <c r="C5" s="4" t="inlineStr">
        <is>
          <t>[doctor] hey brandon you know glad to see you in here today i see on your chart that you're experiencing some neck pain could you tell me a bit about what happened</t>
        </is>
      </c>
    </row>
    <row r="6" ht="15" customHeight="1">
      <c r="C6" s="4" t="inlineStr">
        <is>
          <t>[patient] yeah i was in a car crash</t>
        </is>
      </c>
    </row>
    <row r="7" ht="15" customHeight="1">
      <c r="C7" s="4" t="inlineStr">
        <is>
          <t>[doctor] wow okay when was that</t>
        </is>
      </c>
    </row>
    <row r="8" ht="15" customHeight="1">
      <c r="C8" s="4" t="inlineStr">
        <is>
          <t>[patient] well which car crash</t>
        </is>
      </c>
    </row>
    <row r="9" ht="15" customHeight="1">
      <c r="C9" s="4" t="inlineStr">
        <is>
          <t>[doctor] okay so multiple car crashes alright so let's see if we can how many let's start</t>
        </is>
      </c>
    </row>
    <row r="10" ht="30" customHeight="1">
      <c r="C10" s="4" t="inlineStr">
        <is>
          <t>[patient] my therapist said well my well actually my mother said i should go see the therapist and the therapist said i should see the lawyer but my neck's hurting</t>
        </is>
      </c>
    </row>
    <row r="11" ht="30" customHeight="1">
      <c r="C11" s="4" t="inlineStr">
        <is>
          <t>[doctor] okay so i'm glad that you know you're getting some advice and so let's let's talk about this neck pain how many car crashes have we had recently</t>
        </is>
      </c>
    </row>
    <row r="12" ht="15" customHeight="1">
      <c r="C12" s="4" t="inlineStr">
        <is>
          <t>[patient] well the ones that are my fault or all of them</t>
        </is>
      </c>
    </row>
    <row r="13" ht="15" customHeight="1">
      <c r="C13" s="4" t="inlineStr">
        <is>
          <t>[doctor] all of them</t>
        </is>
      </c>
    </row>
    <row r="14" ht="30" customHeight="1">
      <c r="C14" s="4" t="inlineStr">
        <is>
          <t>[patient] i was fine after the second crash although i was in therapy for a few months and then after the third crash i had surgery but i was fine until this crash</t>
        </is>
      </c>
    </row>
    <row r="15" ht="15" customHeight="1">
      <c r="C15" s="4" t="inlineStr">
        <is>
          <t>[doctor] okay the most recent crash when was that</t>
        </is>
      </c>
    </row>
    <row r="16" ht="30" customHeight="1">
      <c r="C16" s="4" t="inlineStr">
        <is>
          <t>[patient] that's when i was coming home from the pain clinic because my neck hurt and my back hurt but that was in february</t>
        </is>
      </c>
    </row>
    <row r="17" ht="15" customHeight="1">
      <c r="C17" s="4" t="inlineStr">
        <is>
          <t>[doctor] okay alright so we had a car crash in february</t>
        </is>
      </c>
    </row>
    <row r="18" ht="15" customHeight="1">
      <c r="C18" s="4" t="inlineStr">
        <is>
          <t>[patient] what year it was which february it was</t>
        </is>
      </c>
    </row>
    <row r="19" ht="45" customHeight="1">
      <c r="C19" s="4" t="inlineStr">
        <is>
          <t>[doctor] okay so let's let's try with this one see what happens hopefully you remember i need you to start writing down these car crashes that this is becoming a thing but you know it's okay so let's let's say maybe you had a</t>
        </is>
      </c>
    </row>
    <row r="20" ht="15" customHeight="1">
      <c r="C20" s="4" t="inlineStr">
        <is>
          <t>[patient] you're not judging me are you</t>
        </is>
      </c>
    </row>
    <row r="21" ht="30" customHeight="1">
      <c r="C21" s="4" t="inlineStr">
        <is>
          <t>[doctor] no there's no judgment here whatsoever i want to make sure that i'm giving you the best advise possible and in order to do that i need the most information that you can provide me makes sense</t>
        </is>
      </c>
    </row>
    <row r="22" ht="15" customHeight="1">
      <c r="C22" s="4" t="inlineStr">
        <is>
          <t>[patient] yes</t>
        </is>
      </c>
    </row>
    <row r="23" ht="30" customHeight="1">
      <c r="C23" s="4" t="inlineStr">
        <is>
          <t>[doctor] alright so we're gon na say hope maybe that you had a car crash and we can verify this in february of this year and you've been experiencing some neck pain since then right</t>
        </is>
      </c>
    </row>
    <row r="24" ht="15" customHeight="1">
      <c r="C24" s="4" t="inlineStr">
        <is>
          <t>[patient] yes</t>
        </is>
      </c>
    </row>
    <row r="25" ht="30" customHeight="1">
      <c r="C25" s="4" t="inlineStr">
        <is>
          <t>[doctor] okay alright on a scale of one to ten what ten is your arm is being cut off by a chainsaw severe how bad is your pain</t>
        </is>
      </c>
    </row>
    <row r="26" ht="15" customHeight="1">
      <c r="C26" s="4" t="inlineStr">
        <is>
          <t>[patient] twelve</t>
        </is>
      </c>
    </row>
    <row r="27" ht="30" customHeight="1">
      <c r="C27" s="4" t="inlineStr">
        <is>
          <t>[doctor] okay terrible pain now i know you mentioned you had previous car crashes and you've been to therapy has anyone prescribed you any medication it's you said you went to a pain clinic yes</t>
        </is>
      </c>
    </row>
    <row r="28" ht="15" customHeight="1">
      <c r="C28" s="4" t="inlineStr">
        <is>
          <t>[patient] well they had prescribed it recently i was i was on fentanyl</t>
        </is>
      </c>
    </row>
    <row r="29" ht="15" customHeight="1">
      <c r="C29" s="4" t="inlineStr">
        <is>
          <t>[doctor] oh</t>
        </is>
      </c>
    </row>
    <row r="30" ht="15" customHeight="1">
      <c r="C30" s="4" t="inlineStr">
        <is>
          <t>[patient] i have n't gotten a prescription for several weeks</t>
        </is>
      </c>
    </row>
    <row r="31" ht="30" customHeight="1">
      <c r="C31" s="4" t="inlineStr">
        <is>
          <t>[doctor] okay alright and so we will be able to check on that when you take your medication so before you take your medication rather like are you able to move like are you experiencing any stiffness</t>
        </is>
      </c>
    </row>
    <row r="32" ht="15" customHeight="1">
      <c r="C32" s="4" t="inlineStr">
        <is>
          <t>[patient] yes but it hurts</t>
        </is>
      </c>
    </row>
    <row r="33" ht="15" customHeight="1">
      <c r="C33" s="4" t="inlineStr">
        <is>
          <t>[doctor] okay it hurts what kind of pain is it sharp is it dull is it throbbing</t>
        </is>
      </c>
    </row>
    <row r="34" ht="15" customHeight="1">
      <c r="C34" s="4" t="inlineStr">
        <is>
          <t>[patient] it's the sharp incapacitating pain i ca n't work</t>
        </is>
      </c>
    </row>
    <row r="35" ht="15" customHeight="1">
      <c r="C35" s="4" t="inlineStr">
        <is>
          <t>[doctor] wow okay are you having any headaches</t>
        </is>
      </c>
    </row>
    <row r="36" ht="15" customHeight="1">
      <c r="C36" s="4" t="inlineStr">
        <is>
          <t>[patient] of course</t>
        </is>
      </c>
    </row>
    <row r="37" ht="15" customHeight="1">
      <c r="C37" s="4" t="inlineStr">
        <is>
          <t>[doctor] any dizziness</t>
        </is>
      </c>
    </row>
    <row r="38" ht="15" customHeight="1">
      <c r="C38" s="4" t="inlineStr">
        <is>
          <t>[patient] just sometimes</t>
        </is>
      </c>
    </row>
    <row r="39" ht="15" customHeight="1">
      <c r="C39" s="4" t="inlineStr">
        <is>
          <t>[doctor] any visual disturbances is it hard to like are you</t>
        </is>
      </c>
    </row>
    <row r="40" ht="15" customHeight="1">
      <c r="C40" s="4" t="inlineStr">
        <is>
          <t>[patient] not recently no</t>
        </is>
      </c>
    </row>
    <row r="41" ht="15" customHeight="1">
      <c r="C41" s="4" t="inlineStr">
        <is>
          <t>[doctor] okay alright any numbness</t>
        </is>
      </c>
    </row>
    <row r="42" ht="15" customHeight="1">
      <c r="C42" s="4" t="inlineStr">
        <is>
          <t>[patient] yes</t>
        </is>
      </c>
    </row>
    <row r="43" ht="15" customHeight="1">
      <c r="C43" s="4" t="inlineStr">
        <is>
          <t>[doctor] where</t>
        </is>
      </c>
    </row>
    <row r="44" ht="15" customHeight="1">
      <c r="C44" s="4" t="inlineStr">
        <is>
          <t>[patient] my left arm and my right leg</t>
        </is>
      </c>
    </row>
    <row r="45" ht="15" customHeight="1">
      <c r="C45" s="4" t="inlineStr">
        <is>
          <t>[doctor] okay any spasms</t>
        </is>
      </c>
    </row>
    <row r="46" ht="15" customHeight="1">
      <c r="C46" s="4" t="inlineStr">
        <is>
          <t>[patient] of course</t>
        </is>
      </c>
    </row>
    <row r="47" ht="15" customHeight="1">
      <c r="C47" s="4" t="inlineStr">
        <is>
          <t>[doctor] okay where</t>
        </is>
      </c>
    </row>
    <row r="48" ht="15" customHeight="1">
      <c r="C48" s="4" t="inlineStr">
        <is>
          <t>[patient] my body hurts i told you my neck hurts</t>
        </is>
      </c>
    </row>
    <row r="49" ht="45" customHeight="1">
      <c r="C49" s="4" t="inlineStr">
        <is>
          <t>[doctor] okay so i no i'm absolutely i wan na make sure that we are gon na give you the medication that works like the best for you so i'm sorry if these questions seem like frustrating i would just wan na make sure that i understand what the problem is so</t>
        </is>
      </c>
    </row>
    <row r="50" ht="15" customHeight="1">
      <c r="C50" s="4" t="inlineStr">
        <is>
          <t>[patient] i saw pamela and doctor collins's office she's much nicer than you know</t>
        </is>
      </c>
    </row>
    <row r="51" ht="30" customHeight="1">
      <c r="C51" s="4" t="inlineStr">
        <is>
          <t>[doctor] i mean okay so you know what like maybe maybe pamela would be better like we could maybe talk talk about a referral if that would make you more comfortable</t>
        </is>
      </c>
    </row>
    <row r="52" ht="15" customHeight="1">
      <c r="C52" s="4" t="inlineStr">
        <is>
          <t>[patient] my lawyer told me to come here</t>
        </is>
      </c>
    </row>
    <row r="53" ht="60" customHeight="1">
      <c r="C53" s="4" t="inlineStr">
        <is>
          <t>[doctor] then you're stuck with me okay i'm so sorry but here it's we're gon na try and make it as good as possible alright so last thing i do wan na do my physical exam alright and i need you to let me know as as much as you as much as you can verbalize right so when i push here in the middle of your neck on top of the bone does it hurt</t>
        </is>
      </c>
    </row>
    <row r="54" ht="15" customHeight="1">
      <c r="C54" s="4" t="inlineStr">
        <is>
          <t>[patient] yes yes</t>
        </is>
      </c>
    </row>
    <row r="55" ht="15" customHeight="1">
      <c r="C55" s="4" t="inlineStr">
        <is>
          <t>[doctor] okay alright sorry what about on the side does that hurt</t>
        </is>
      </c>
    </row>
    <row r="56" ht="15" customHeight="1">
      <c r="C56" s="4" t="inlineStr">
        <is>
          <t>[patient] yes</t>
        </is>
      </c>
    </row>
    <row r="57" ht="60" customHeight="1">
      <c r="C57" s="4" t="inlineStr">
        <is>
          <t>[doctor] okay so pain on palpation both on the bony process and on the muscle can you move your neck from side to side can you move your neck can you swive it side to side no no alright so i'm i'm seeing i'm seeing some range of movement moderate range of movement that's fine okay i so when can you bend your neck forward that that's your whole body just just the neck are you capable of bending up</t>
        </is>
      </c>
    </row>
    <row r="58" ht="15" customHeight="1">
      <c r="C58" s="4" t="inlineStr">
        <is>
          <t>[patient] really hurts it really hurts</t>
        </is>
      </c>
    </row>
    <row r="59" ht="45" customHeight="1">
      <c r="C59" s="4" t="inlineStr">
        <is>
          <t>[doctor] okay it really hurts to bend forward and backwards okay alright so i'm just gon na make a little note here i do n't i do n't see any bruising i'm not noticing any swelling there is i i do n't see any laceration what</t>
        </is>
      </c>
    </row>
    <row r="60" ht="15" customHeight="1">
      <c r="C60" s="4" t="inlineStr">
        <is>
          <t>[patient] just sometimes it bruises</t>
        </is>
      </c>
    </row>
    <row r="61" ht="30" customHeight="1">
      <c r="C61" s="4" t="inlineStr">
        <is>
          <t>[doctor] okay sometimes alright that's fine i i just i'm not seeing one here today so that's okay alright so with that being said i do wan na ask have you been experiencing any fatigue are you tired</t>
        </is>
      </c>
    </row>
    <row r="62" ht="15" customHeight="1">
      <c r="C62" s="4" t="inlineStr">
        <is>
          <t>[patient] well since the accident yes</t>
        </is>
      </c>
    </row>
    <row r="63" ht="45" customHeight="1">
      <c r="C63" s="4" t="inlineStr">
        <is>
          <t>[doctor] okay alright just making sure okay so this is what this is my assessment and plan this is what we are gon na do i want to be able to like we had you do an x-ray before you came in here and looking at it i'm not noticing any fracture that's a really good sign considering how many car accidents we've been in lately</t>
        </is>
      </c>
    </row>
    <row r="64" ht="15" customHeight="1">
      <c r="C64" s="4" t="inlineStr">
        <is>
          <t>[patient] it hurts it hurts</t>
        </is>
      </c>
    </row>
    <row r="65" ht="45" customHeight="1">
      <c r="C65" s="4" t="inlineStr">
        <is>
          <t>[doctor] absolutely no i we're gon na address the pain so for my first so looking at your imaging results though i'm not seeing a fracture that's a great sign so for your first diagnosis i'm gon na say that you have what is called a neck sprain that</t>
        </is>
      </c>
    </row>
    <row r="66" ht="15" customHeight="1">
      <c r="C66" s="4" t="inlineStr">
        <is>
          <t>[patient] thinking are are you saying i'm thinking</t>
        </is>
      </c>
    </row>
    <row r="67" ht="15" customHeight="1">
      <c r="C67" s="4" t="inlineStr">
        <is>
          <t>[doctor] no not by any means i am saying</t>
        </is>
      </c>
    </row>
    <row r="68" ht="15" customHeight="1">
      <c r="C68" s="4" t="inlineStr">
        <is>
          <t>[patient] pain i have a lot of pain</t>
        </is>
      </c>
    </row>
    <row r="69" ht="30" customHeight="1">
      <c r="C69" s="4" t="inlineStr">
        <is>
          <t>[doctor] yes and your pain can be explained by multiple things but thankfully it's not a broken neck is that okay</t>
        </is>
      </c>
    </row>
    <row r="70" ht="15" customHeight="1">
      <c r="C70" s="4" t="inlineStr">
        <is>
          <t>[patient] yes</t>
        </is>
      </c>
    </row>
    <row r="71" ht="30" customHeight="1">
      <c r="C71" s="4" t="inlineStr">
        <is>
          <t>[doctor] alright so what we are gon na do when we are gon na like try and treat this as conservatively as possible</t>
        </is>
      </c>
    </row>
    <row r="72" ht="15" customHeight="1">
      <c r="C72" s="4" t="inlineStr">
        <is>
          <t>[patient] said it might be broken</t>
        </is>
      </c>
    </row>
    <row r="73" ht="15" customHeight="1">
      <c r="C73" s="4" t="inlineStr">
        <is>
          <t>[doctor] what</t>
        </is>
      </c>
    </row>
    <row r="74" ht="15" customHeight="1">
      <c r="C74" s="4" t="inlineStr">
        <is>
          <t>[patient] pamela said it might be broken</t>
        </is>
      </c>
    </row>
    <row r="75" ht="60" customHeight="1">
      <c r="C75" s="4" t="inlineStr">
        <is>
          <t>[doctor] if pamela said it's broken then you know what this is what we're gon na do we're gon na order something called a ct that's gon na give us even nope you know what let's upgrade to an mri it's gon na give us the most thorough image of everything that's going on the heart and the soft tissues is that gon na is that so that way we can really get a good image of what's happening inside right</t>
        </is>
      </c>
    </row>
    <row r="76" ht="15" customHeight="1">
      <c r="C76" s="4" t="inlineStr">
        <is>
          <t>[patient] okay because what the lawyer said i needed was an mri</t>
        </is>
      </c>
    </row>
    <row r="77" ht="120" customHeight="1">
      <c r="C77" s="4" t="inlineStr">
        <is>
          <t>[doctor] not a problem we're we're gon na make your lawyer happy next step we are going to try working like from the outside in so i do need you to work on getting like you're you're saying you've seen some bruising and some swelling yourself so i want you to put ice on that whenever you're experiencing that in the moment when you wake up i want you to do your best to just like i'm gon na give you some exercises on the sheet and i want you to roll through these exercises every morning right to just get some like movement and like free frenosive movement back into your neck i also wan na put you on a couple medications now i know that you said you were on fentanyl before that's a bit extreme and i i want i i i wan na like monitor this a little more conservatively so what we're gon na start with is something called robaxin</t>
        </is>
      </c>
    </row>
    <row r="78" ht="15" customHeight="1">
      <c r="C78" s="4" t="inlineStr">
        <is>
          <t>[patient] hurts a lot if i do n't get more fentanyl</t>
        </is>
      </c>
    </row>
    <row r="79" ht="120" customHeight="1">
      <c r="C79" s="4" t="inlineStr">
        <is>
          <t>[doctor] you know we can refer you to pain medicine if it really is getting that complicated but for this current period we're gon na put you on some robaxin it's gon na be fifteen hundred milligrams and you're gon na take that six to eight hours every six to eight hours and that really should help kinda relax the muscles in the area take off some of that tension and really help with that pain if you're noticing that the robaxin still is n't helping maybe then we can start we can like start using like a heat pad or maybe some icyhot the biofreeze is a really good one to kinda help with that and then we will refer you to physical therapy i think with the mri we can start evaluating maybe some additional steps so rather than you having to like take that fentanyl because i do n't want you to be in danger right like people i do n't want you to get rubbed so what we could explore are local injections right and we can refer you to pain medication and see about like locally injecting the area and that should be able to help you out hopefully with this</t>
        </is>
      </c>
    </row>
    <row r="80" ht="15" customHeight="1">
      <c r="C80" s="4" t="inlineStr">
        <is>
          <t>[patient] i ca n't go to work like this</t>
        </is>
      </c>
    </row>
    <row r="81" ht="45" customHeight="1">
      <c r="C81" s="4" t="inlineStr">
        <is>
          <t>[doctor] okay so if it's if it's that bad let's wait for the mri result we're gon na give you off for work because you know you ca n't move and we'll see what the mri says about what whether or not we can get you like true local injections in the moment is that alright for now</t>
        </is>
      </c>
    </row>
    <row r="82" ht="15" customHeight="1">
      <c r="C82" s="4" t="inlineStr">
        <is>
          <t>[patient] yeah</t>
        </is>
      </c>
    </row>
    <row r="83" ht="15" customHeight="1">
      <c r="C83" s="4" t="inlineStr">
        <is>
          <t>[doctor] okay okay any other questions</t>
        </is>
      </c>
    </row>
    <row r="84" ht="15" customHeight="1">
      <c r="C84" s="4" t="inlineStr">
        <is>
          <t>[patient] not right now</t>
        </is>
      </c>
    </row>
    <row r="85" ht="15" customHeight="1">
      <c r="C85" s="4" t="inlineStr">
        <is>
          <t>[doctor] alright</t>
        </is>
      </c>
    </row>
    <row r="88">
      <c r="B88" s="9" t="inlineStr">
        <is>
          <t>REFERANSENOTAT (tgt – 'gold standard')</t>
        </is>
      </c>
    </row>
    <row r="89" ht="15" customHeight="1">
      <c r="C89" s="4" t="inlineStr">
        <is>
          <t>CHIEF COMPLAINT</t>
        </is>
      </c>
    </row>
    <row r="91" ht="15" customHeight="1">
      <c r="C91" s="4" t="inlineStr">
        <is>
          <t>Neck pain.</t>
        </is>
      </c>
    </row>
    <row r="93" ht="15" customHeight="1">
      <c r="C93" s="4" t="inlineStr">
        <is>
          <t>HISTORY OF PRESENT ILLNESS</t>
        </is>
      </c>
    </row>
    <row r="95" ht="120" customHeight="1">
      <c r="C95" s="4" t="inlineStr">
        <is>
          <t>Brandon Green is a pleasant 46-year-old male who presents to the clinic today for the evaluation of neck pain. His pain began when he was involved in a motor vehicle accident in 02/2022 when he was on his way home from a pain clinic. The patient notes that he has been in 4 motor vehicle accidents; however, he notes that he was fine after the first two accidents, but the third motor vehicle accident is when his neck and back pain began. He states that he was in therapy following the second accident and had surgery after his third accident. The patient was seen at a pain clinic secondary to neck and back pain. He was prescribed fentanyl; however, he has not received a prescription for several weeks. Today, he reports that his pain is a 12 out of 10. He describes his pain as sharp and incapacitating with stiffness and pain. The patient also reports headaches, occasional dizziness. He denies any recent visual disturbances. He also reports numbness in his left arm and right leg. The patient also reports spasms throughout his body. He states that he has been experiencing fatigue since the accident. He notes that he is unable to work with this much pain.</t>
        </is>
      </c>
    </row>
    <row r="97" ht="15" customHeight="1">
      <c r="C97" s="4" t="inlineStr">
        <is>
          <t>REVIEW OF SYSTEMS</t>
        </is>
      </c>
    </row>
    <row r="99" ht="15" customHeight="1">
      <c r="C99" s="4" t="inlineStr">
        <is>
          <t>Constitutional: Reports fatigue.</t>
        </is>
      </c>
    </row>
    <row r="100" ht="15" customHeight="1">
      <c r="C100" s="4" t="inlineStr">
        <is>
          <t>Eyes: Denies any recent visual disturbances.</t>
        </is>
      </c>
    </row>
    <row r="101" ht="15" customHeight="1">
      <c r="C101" s="4" t="inlineStr">
        <is>
          <t>Musculoskeletal: Reports neck and back pain, and occasional swelling and bruising of the neck.</t>
        </is>
      </c>
    </row>
    <row r="102" ht="15" customHeight="1">
      <c r="C102" s="4" t="inlineStr">
        <is>
          <t>Neurological: Reports headaches, dizziness, spasms, and numbness.</t>
        </is>
      </c>
    </row>
    <row r="104" ht="15" customHeight="1">
      <c r="C104" s="4" t="inlineStr">
        <is>
          <t>PHYSICAL EXAM</t>
        </is>
      </c>
    </row>
    <row r="106" ht="15" customHeight="1">
      <c r="C106" s="4" t="inlineStr">
        <is>
          <t>SKIN: No lacerations.</t>
        </is>
      </c>
    </row>
    <row r="107" ht="30" customHeight="1">
      <c r="C107" s="4" t="inlineStr">
        <is>
          <t>MSK: Examination of the cervical spine: Pain on palpation on the bony process and muscle. Moderate ROM. No bruising or edema noted.</t>
        </is>
      </c>
    </row>
    <row r="109" ht="15" customHeight="1">
      <c r="C109" s="4" t="inlineStr">
        <is>
          <t>RESULTS</t>
        </is>
      </c>
    </row>
    <row r="111" ht="15" customHeight="1">
      <c r="C111" s="4" t="inlineStr">
        <is>
          <t>X-rays of the neck reveal no fractures.</t>
        </is>
      </c>
    </row>
    <row r="113" ht="15" customHeight="1">
      <c r="C113" s="4" t="inlineStr">
        <is>
          <t>ASSESSMENT</t>
        </is>
      </c>
    </row>
    <row r="115" ht="15" customHeight="1">
      <c r="C115" s="4" t="inlineStr">
        <is>
          <t>Neck sprain.</t>
        </is>
      </c>
    </row>
    <row r="117" ht="15" customHeight="1">
      <c r="C117" s="4" t="inlineStr">
        <is>
          <t>PLAN</t>
        </is>
      </c>
    </row>
    <row r="119" ht="90" customHeight="1">
      <c r="C119" s="4" t="inlineStr">
        <is>
          <t>After reviewing the patient's examination and radiographic findings today, I have had a lengthy discussion with the patient in regards to his current symptoms. I have explained to him that his x-rays did not reveal any signs of a fracture. I recommended an MRI for further evaluation. I have also prescribed the patient Robaxin 1500 mg every 6 to 8 hours to treat his pain. I have also advised him to utilize ice, a heating pad, IcyHot, or Biofreeze on his neck as needed. I have also provided him with a home exercise program to work on his range of motion. I advised the patient that he will not be able to work until we have the MRI results.</t>
        </is>
      </c>
    </row>
    <row r="121" ht="15" customHeight="1">
      <c r="C121" s="4" t="inlineStr">
        <is>
          <t>INSTRUCTIONS</t>
        </is>
      </c>
    </row>
    <row r="123" ht="15" customHeight="1">
      <c r="C123" s="4" t="inlineStr">
        <is>
          <t>The patient will follow up with me after his MRI for results.</t>
        </is>
      </c>
    </row>
    <row r="126">
      <c r="B126" s="9" t="inlineStr">
        <is>
          <t>GENERERTE SAMMENDRAG (per strategi)</t>
        </is>
      </c>
    </row>
    <row r="127" ht="240" customHeight="1">
      <c r="B127" s="10" t="inlineStr">
        <is>
          <t>01_zero_shot_minimal_baseline</t>
        </is>
      </c>
      <c r="C127" s="4" t="inlineStr">
        <is>
          <t>**S - Subjektive opplysninger**  
Pasienten oppsøker legevakt grunnet nakkesmerter etter bilulykke, oppgir siste ulykke i februar i år. Har hatt flere tidligere bilulykker, tidligere gått i terapi og vært operert etter en tidligere ulykke. Oppgir nakkesmerter siden siste ulykke. Smerteintensitet angis til 12/10. Beskriver smerten som skarp og invalidiserende, og oppgir at han ikke kan arbeide. Oppgir stivhet/bevegelsessmerter i nakken, hodepine, periodevis svimmelhet, fatigue siden ulykken, nummenhet i venstre arm og høyre ben, samt spasmer. Ingen nylige synsforstyrrelser. Oppgir tidligere behandling ved smerteklinikk og at han nylig har brukt fentanyl, men ikke fått resept de siste ukene.
**O - Objektive opplysninger**  
Ved klinisk undersøkelse ømhet ved palpasjon både midt over cervicale benstrukturer og paracervikalt muskulært. Smerter ved nakkebevegelser, særlig fleksjon og ekstensjon. Moderat bevegelighet side til side observert. Ingen synlig hevelse, blåmerker eller sår/lacerasjoner ved undersøkelsen. Røntgen av nakken tatt før konsultasjonen viste ingen fraktur.
**A - Vurdering**  
Nakkesmerter etter bilulykke, forenlig med nakkeforstuing/cervikal forstuing. Ingen fraktur påvist på røntgen. Vedvarende sterke smerter med nevrologiske symptomer oppgitt anamnestisk.
**P - Plan**  
Bestiller MR av nakken for videre utredning. Konservativ behandling anbefales med is ved hevelse/blåmerker og øvelser for nakkebevegelighet. Oppstart Robaxin 1500 mg hver 6.–8. time. Ved utilstrekkelig effekt kan varmepute/topikale midler forsøkes. Henvisning til fysioterapi og eventuelt videre til smertebehandling/pain clinic for vurdering av lokal injeksjonsbehandling. Pasienten får sykmelding/fri fra arbeid inntil videre i påvente av MR-svar.</t>
        </is>
      </c>
    </row>
    <row r="128" ht="400" customHeight="1">
      <c r="B128" s="10" t="inlineStr">
        <is>
          <t>02_zero_shot_structured_instruction</t>
        </is>
      </c>
      <c r="C128" s="4" t="inlineStr">
        <is>
          <t>S - Subjektive opplysninger:
- Oppsøker for nakkesmerter etter bilulykke. Pasienten oppgir flere tidligere bilulykker, men beskriver at han var bra frem til siste ulykke.
- Siste bilulykke oppgis å ha vært i februar, trolig i år, med nakkesmerter siden da.
- Oppgir svært sterke smerter, skarpe og «inkapasiterende», og sier at han ikke kan arbeide.
- Oppgir stivhet/bevegelsesvansker i nakken, hodepine, tidvis svimmelhet, nummenhet i venstre arm og høyre ben, spasmer og tretthet siden ulykken.
- Benekter nylige synsforstyrrelser.
- Oppgir tidligere behandling ved smerteklinikk og at han tidligere nylig har brukt fentanyl, men ikke fått resept de siste ukene.
- Oppgir tidligere terapi etter en tidligere bilulykke og kirurgi etter en tredje bilulykke.
O - Objektive opplysninger:
- Ved undersøkelse oppgis smerte ved palpasjon både midt over cervicale benstrukturer og lateralt/muskulært.
- Legen observerer moderat bevegelsesutslag side til side. Fremover- og bakoverbøy gjør vondt.
- Ingen synlig blåmerking, hevelse eller laserasjon ved dagens undersøkelse.
- Røntgen tatt før konsultasjonen: legen opplyser at det ikke ses fraktur.
A - Vurdering:
- Nakkesmerter etter bilulykke i februar med betydelige smerteplager og redusert funksjon.
- Foreløpig vurdert som nakkeforstuing basert på klinikk og røntgen uten påvist fraktur.
- Vedvarende sterke smerter og nevrologiske symptomer rapporteres av pasienten; videre billeddiagnostikk planlegges.
P - Plan:
- Bestille MR av nakken for nærmere vurdering.
- Konservativ behandling anbefales: is ved opplevd hevelse/blåmerking og øvelser hjemme hver morgen etter skjema.
- Oppstart Robaxin 1500 mg hver 6.–8. time.
- Dersom utilstrekkelig effekt: kan forsøke varmepute eller lokale smertelindrende midler som Icy Hot/Biofreeze.
- Henvisning til fysioterapi.
- Ved fortsatt kompliserte smerter kan henvisning til smertemedisin vurderes, inkludert mulighet for lokale injeksjoner.
- Ikke fentanyl nå; legen ønsker mer konservativ oppfølging.
- Sykmelding/fri fra arbeid inntil videre i påvente av MR-resultat.</t>
        </is>
      </c>
    </row>
    <row r="129" ht="400" customHeight="1">
      <c r="B129" s="10" t="inlineStr">
        <is>
          <t>03_one_shot</t>
        </is>
      </c>
      <c r="C129" s="4" t="inlineStr">
        <is>
          <t>S - Subjektive opplysninger:
- Oppsøker for nakkesmerter etter bilulykke, oppgir at siste ulykke var i februar i år og at nakkesmertene har vært til stede siden da.
- Oppgir svært sterke smerter, beskrevet som skarpe og invalidiserende, med stivhet og smerter ved bevegelse av nakken. Sier at han ikke kan arbeide slik det er nå.
- Oppgir hodepine, tidvis svimmelhet, ingen nylige synsforstyrrelser.
- Oppgir nummenhet i venstre arm og høyre ben.
- Oppgir spasmer og tretthet siden ulykken.
- Opplyser om tidligere bilulykker, tidligere terapi over noen måneder og at han etter en tredje ulykke hadde kirurgi; sier at han var bra frem til denne ulykken.
- Oppgir tidligere kontakt med smerteklinikk og at han nylig hadde vært behandlet med fentanyl, men ikke hatt resept de siste ukene.
O - Objektive opplysninger:
- Ved undersøkelse oppgis smerte ved palpasjon både midt over cervicale benete strukturer og lateralt i muskulaturen.
- Moderat bevegelsesutslag i nakken observert; smerter ved sidebevegelse samt ved fleksjon og ekstensjon.
- Ingen blåmerker, hevelse eller sår/lacerasjoner sett ved dagens undersøkelse.
- Røntgen tatt før konsultasjonen: legen opplyser at det ikke ses fraktur.
A - Vurdering:
- Nakkesmerter etter bilulykke i februar. På bakgrunn av sykehistorie, klinisk undersøkelse og røntgen uten synlig fraktur vurderes dette som nakkeforstuing.
- Videre billeddiagnostikk planlegges med MR.
P - Plan:
- Bestille MR av nakken for videre vurdering.
- Konservativ behandling anbefales.
- Robaxin 1500 mg hver 6.–8. time.
- Råd om is ved opplevd hevelse/blåmerker.
- Får øvelser på ark som skal gjennomføres hver morgen for å bedre bevegelse i nakken.
- Dersom Robaxin ikke hjelper, råd om varmepute eller lokale midler som Icy Hot/Biofreeze.
- Henvisning til fysioterapi.
- Ved vedvarende/plagsomme smerter kan henvisning til smertemedisin vurderes, inkludert mulig lokal injeksjonsbehandling.
- Får sykmelding/fritak fra arbeid inntil videre, i påvente av MR-svar.</t>
        </is>
      </c>
    </row>
    <row r="130" ht="400" customHeight="1">
      <c r="B130" s="10" t="inlineStr">
        <is>
          <t>04_two_shot</t>
        </is>
      </c>
      <c r="C130" s="4" t="inlineStr">
        <is>
          <t>S - Subjektive opplysninger:
- Oppsøker for nakkesmerter etter bilulykke, mest nylige ulykke oppgis å ha vært i februar, med nakkesmerter siden da.
- Oppgir svært sterke smerter, beskrevet som skarpe og invalidiserende, og sier at han ikke kan arbeide.
- Oppgir stivhet og smerter ved bevegelse av nakken.
- Oppgir hodepine, tidvis svimmelhet, fatigue siden ulykken, nummenhet i venstre arm og høyre ben, samt spasmer.
- Benekter nylige synsforstyrrelser.
- Oppgir tidligere flere bilulykker; var i terapi i noen måneder etter en tidligere ulykke og hadde kirurgi etter en tredje ulykke. Det fremgår ikke hvilken kirurgi.
- Oppgir tidligere behandling ved smerteklinikk og at han nylig hadde vært på fentanyl, men ikke hatt resept de siste ukene.
- Oppgir selv at det av og til kommer blåmerker/hevelse, men dette var ikke til stede under dagens undersøkelse.
O - Objektive opplysninger:
- Ved undersøkelse ømhet ved palpasjon både over midtlinje/benyttet struktur i nakken og paraspinalt/muskulært.
- Legen observerer moderat bevegelsesutslag i nakken, men pasienten oppgir smerter ved sidebevegelse samt ved fleksjon og ekstensjon.
- Ingen synlige blåmerker, hevelse eller laserasjon ved dagens undersøkelse.
- Røntgen tatt før konsultasjonen: legen opplyser at det ikke ses fraktur.
A - Vurdering:
- Nakkesmerter etter bilulykke i februar. Basert på dagens røntgen uten synlig fraktur og klinisk vurdering vurderes dette som nakkeforstuing/neck sprain.
- Vedvarende sterke smerter og nevrologiske symptomer oppgis av pasienten (nummenhet i venstre arm og høyre ben). Videre billeddiagnostikk planlegges.
P - Plan:
- Bestille MR av nakken for videre utredning.
- Konservativ behandling anbefales: is ved opplevd hevelse/blåmerker og øvelser for nakken hver morgen, med øvelsesark.
- Starte Robaxin 1500 mg hver 6.–8. time.
- Dersom utilstrekkelig effekt av Robaxin, foreslås varmepute eller lokale smertelindrende midler som Icy Hot/Biofreeze.
- Henvisning til fysioterapi.
- Ved vedvarende/kompliserte smerter kan henvisning til smertemedisin vurderes, inkludert mulig lokal injeksjonsbehandling.
- Pasienten får sykmelding/fri fra arbeid inntil videre, i påvente av MR-svar og videre vurdering.</t>
        </is>
      </c>
    </row>
    <row r="131" ht="400" customHeight="1">
      <c r="B131" s="10" t="inlineStr">
        <is>
          <t>05_two_shot_decomposition</t>
        </is>
      </c>
      <c r="C131" s="4" t="inlineStr">
        <is>
          <t>S - Subjektive opplysninger:
- Oppsøker for nakkesmerter etter bilulykke i februar i år, med smerter siden da.
- Oppgir svært sterke nakkesmerter, beskrevet som skarpe og invalidiserende, med stivhet og at han ikke kan arbeide.
- Oppgir hodepine, tidvis svimmelhet, nummenhet i venstre arm og høyre ben, spasmer og tretthet siden ulykken.
- Benekter nylige synsforstyrrelser.
- Oppgir tidligere flere bilulykker, tidligere fysioterapi over noen måneder etter en tidligere ulykke, og kirurgi etter en tredje ulykke. Oppgir også tidligere oppfølging ved smerteklinikk.
- Opplyser at han nylig har brukt fentanyl, men ikke hatt resept de siste ukene.
O - Objektive opplysninger:
- Ved undersøkelse ømhet ved palpasjon både over cervicale benete strukturer og muskulatur.
- Moderat bevegelsesutslag i nakken; smerter ved sidebevegelse samt ved fleksjon og ekstensjon.
- Ingen synlig blåmerking, hevelse eller laserasjon ved dagens undersøkelse.
- Røntgen tatt før konsultasjonen: legen opplyser at det ikke ses fraktur.
A - Vurdering:
- Nakkesmerter etter bilulykke i februar. Røntgen uten påvist fraktur.
- Legen vurderer tilstanden som nakkeforstuing.
- På grunn av vedvarende sterke smerter og pasientens bekymring planlegges videre bildediagnostikk med MR.
P - Plan:
- Bestille MR av nakken for videre vurdering.
- Konservativ behandling: is ved opplevd hevelse/blåmerking, samt øvelser som gis på ark og anbefales gjennomført hver morgen.
- Starte Robaxin 1500 mg hver 6.–8. time.
- Dersom utilstrekkelig effekt av Robaxin, råd om varmepute eller lokale midler som Icy Hot/Biofreeze.
- Henvisning til fysioterapi.
- Ved fortsatt kompliserte smerter kan henvisning til smertemedisin vurderes, inkludert mulig lokal injeksjonsbehandling.
- Sykmelding/fri fra arbeid inntil videre i påvente av MR-svar.</t>
        </is>
      </c>
    </row>
    <row r="132" ht="400" customHeight="1">
      <c r="B132" s="10" t="inlineStr">
        <is>
          <t>06_two_shot_self_criticism</t>
        </is>
      </c>
      <c r="C132" s="4" t="inlineStr">
        <is>
          <t>S - Subjektive opplysninger:
- Oppsøker for nakkesmerter etter bilulykke, oppgir at siste ulykke var i februar i år og at nakkesmertene har vært til stede siden da.
- Oppgir svært sterke smerter, beskrevet som skarpe og «inkapasiterende», samt at han ikke kan arbeide på grunn av smertene.
- Oppgir stivhet og smerter ved bevegelse av nakken.
- Oppgir hodepine, tidvis svimmelhet, ingen nylige synsforstyrrelser.
- Oppgir nummenhet i venstre arm og høyre ben, samt spasmer. Oppgir også tretthet siden ulykken.
- Tidligere opplyst om flere bilulykker; pasienten sier at han etter en tidligere ulykke gikk i terapi i noen måneder, og etter en tredje ulykke hadde kirurgi. Detaljer og tidspunkt uklare.
- Oppgir tidligere behandling ved smerteklinikk og at han nylig har brukt fentanyl, men ikke hatt resept de siste ukene.
O - Objektive opplysninger:
- Ved undersøkelse ømhet ved palpasjon både over cervicale benete strukturer og paracervikal muskulatur.
- Legen observerer moderat bevegelsesutslag i nakken; pasienten oppgir smerter ved sidebevegelse samt ved fleksjon og ekstensjon.
- Ingen synlig blåmerking, hevelse eller laserasjon ved dagens undersøkelse.
- Røntgen tatt før konsultasjonen: legen opplyser at det ikke ses fraktur.
A - Vurdering:
- Nakkesmerter etter bilulykke i februar. Basert på klinikk og røntgen uten påvist fraktur vurderes dette som nakkeforstuing.
- Vedvarende sterke smerter og nevrologiske symptomer oppgis av pasienten; videre billeddiagnostikk planlegges.
P - Plan:
- Bestille MR av nakken for videre vurdering.
- Konservativ behandling anbefales: is ved opplevd hevelse/blåmerking, samt øvelser for nakken hver morgen etter utdelt ark.
- Starte Robaxin 1500 mg hver 6.–8. time.
- Dersom utilstrekkelig effekt av Robaxin, råd om varmepute eller lokale midler som Icy Hot/Biofreeze.
- Henvisning til fysioterapi.
- Ved fortsatt kompliserte smerter kan henvisning til smertemedisin vurderes, inkludert mulighet for lokale injeksjoner etter MR-vurdering.
- Pasienten får sykmelding/fri fra arbeid inntil videre i påvente av MR-svar.</t>
        </is>
      </c>
    </row>
    <row r="133" ht="390" customHeight="1">
      <c r="B133" s="10" t="inlineStr">
        <is>
          <t>07_two_shot_decomposition_self_criticism</t>
        </is>
      </c>
      <c r="C133" s="4" t="inlineStr">
        <is>
          <t>S - Subjektive opplysninger:
- Oppsøker for nakkesmerter etter bilulykke, oppgir at siste ulykke var i februar i år og at nakkesmertene har vært til stede siden da.
- Oppgir svært sterke smerter, beskrevet som skarpe og invalidiserende, med stivhet og smerter ved bevegelse av nakken. Sier at han ikke kan arbeide slik det er nå.
- Oppgir hodepine, tidvis svimmelhet, ingen nylige synsforstyrrelser.
- Oppgir nummenhet i venstre arm og høyre ben, samt spasmer. Oppgir også tretthet siden ulykken.
- Opplyser om tidligere bilulykker, tidligere terapi og at han etter en tidligere ulykke hadde kirurgi. Har vært ved smerteklinikk og oppgir tidligere behandling med fentanyl, men ingen resept de siste ukene.
O - Objektive opplysninger:
- Ved undersøkelse ømhet ved palpasjon både over midtlinje/benyttet struktur i nakken og lateralt i muskulaturen.
- Legen observerer moderat bevegelsesutslag side til side; pasienten oppgir smerter ved fleksjon og ekstensjon.
- Ingen synlig blåmerker, hevelse eller sår/lacerasjon ved dagens undersøkelse.
- Røntgen tatt før konsultasjonen: legen opplyser at det ikke ses fraktur.
A - Vurdering:
- Nakkesmerter etter bilulykke i februar. Røntgen uten påvist fraktur.
- Legen vurderer tilstanden som nakkeforstuing/neck sprain.
- Videre billeddiagnostikk planlegges med MR for nærmere vurdering.
P - Plan:
- Bestille MR av nakken.
- Konservativ behandling anbefales: is ved opplevd hevelse/blåmerker, øvelser hjemme hver morgen etter utdelt ark.
- Starte Robaxin 1500 mg hver 6.–8. time.
- Dersom utilstrekkelig effekt av Robaxin, råd om varmepute eller lokale midler som IcyHot/Biofreeze.
- Henvisning til fysioterapi.
- Ved vedvarende/kompliserte smerter kan henvisning til smertemedisin vurderes, inkludert mulig lokale injeksjoner etter MR-svar.
- Sykmelding/fri fra arbeid inntil videre i påvente av MR-resultat.</t>
        </is>
      </c>
    </row>
    <row r="134" ht="375" customHeight="1">
      <c r="B134" s="10" t="inlineStr">
        <is>
          <t>08_two_shot_decomposition_self_criticism_ensemble</t>
        </is>
      </c>
      <c r="C134" s="4" t="inlineStr">
        <is>
          <t>S - Subjektive opplysninger:
- Oppsøker for nakkesmerter etter bilulykke i februar i år, med smerter siden da.
- Oppgir svært sterke smerter, beskrevet som skarpe og «inkapasiterende», med stivhet og at han ikke kan arbeide.
- Oppgir hodepine, tidvis svimmelhet, nummenhet i venstre arm og høyre ben, spasmer og tretthet siden ulykken.
- Benekter nylige synsforstyrrelser.
- Oppgir tidligere flere bilulykker; etter en tidligere ulykke gikk han i terapi i noen måneder, og etter en annen hadde han kirurgi. Detaljer uklare.
- Oppgir tidligere behandling ved smerteklinikk og at han nylig har brukt fentanyl, men ikke fått resept de siste ukene.
O - Objektive opplysninger:
- Ved undersøkelse ømhet ved palpasjon både over midtlinje/benyttet i nakken og lateralt i muskulaturen.
- Moderat bevegelsesutslag i nakken observert; pasienten oppgir smerter ved sidebevegelse samt ved fleksjon og ekstensjon.
- Ingen synlig blåmerking, hevelse eller laserasjon ved dagens undersøkelse.
- Røntgen tatt før konsultasjonen: legen opplyser at det ikke ses fraktur.
A - Vurdering:
- Nakkesmerter etter bilulykke, vurdert som nakkeforstuing ut fra klinikk og røntgen uten synlig fraktur.
- Vedvarende sterke smerter og nevrologiske symptomer rapportert av pasienten. Videre bildediagnostikk planlegges.
P - Plan:
- Bestille MR av nakken for videre avklaring.
- Konservativ behandling: is ved opplevd hevelse/blåmerking, øvelser hjemme hver morgen, og ved manglende effekt av Robaxin kan varmepute eller lokale midler som Icy Hot/Biofreeze forsøkes.
- Starte Robaxin 1500 mg hver 6.–8. time.
- Henvisning til fysioterapi.
- Ved fortsatt kompliserte smerter kan henvisning til smertemedisin vurderes, inkludert mulig lokal injeksjonsbehandling etter MR-svar.
- Får sykmelding/fri fra arbeid inntil videre i påvente av MR-resultat.</t>
        </is>
      </c>
    </row>
  </sheetData>
  <mergeCells count="3">
    <mergeCell ref="B126:C126"/>
    <mergeCell ref="B88:C88"/>
    <mergeCell ref="B4:C4"/>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13"/>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30" customWidth="1" min="1" max="1"/>
    <col width="60" customWidth="1" min="2" max="2"/>
    <col width="12" customWidth="1" min="3" max="3"/>
    <col width="12" customWidth="1" min="4" max="4"/>
    <col width="12" customWidth="1" min="5" max="5"/>
    <col width="12" customWidth="1" min="6" max="6"/>
    <col width="12" customWidth="1" min="7" max="7"/>
    <col width="12" customWidth="1" min="8" max="8"/>
    <col width="12" customWidth="1" min="9" max="9"/>
    <col width="11" customWidth="1" min="10" max="10"/>
    <col width="12" customWidth="1" min="11" max="11"/>
    <col width="11" customWidth="1" min="12" max="12"/>
    <col width="11" customWidth="1" min="13" max="13"/>
    <col width="12" customWidth="1" min="14" max="14"/>
    <col width="50" customWidth="1" min="15" max="15"/>
  </cols>
  <sheetData>
    <row r="1">
      <c r="A1" s="8" t="inlineStr">
        <is>
          <t>Samtale 2: 1-aci – manuell scoring</t>
        </is>
      </c>
    </row>
    <row r="2">
      <c r="A2" s="2" t="inlineStr">
        <is>
          <t>Fyll inn tall i gule celler. Grå = utregnet. Grønn = kommentarer.</t>
        </is>
      </c>
    </row>
    <row r="3">
      <c r="A3" s="2" t="inlineStr">
        <is>
          <t>Se «Samtale 2 – Transkript» for samtalen og referansenotatet.</t>
        </is>
      </c>
    </row>
    <row r="5" ht="50" customHeight="1">
      <c r="A5" s="11" t="inlineStr">
        <is>
          <t>Strategi</t>
        </is>
      </c>
      <c r="B5" s="11" t="inlineStr">
        <is>
          <t>Sammendrag (utdrag)</t>
        </is>
      </c>
      <c r="C5" s="11" t="inlineStr">
        <is>
          <t>Forankring
(citation)
1-5</t>
        </is>
      </c>
      <c r="D5" s="11" t="inlineStr">
        <is>
          <t>Nøyaktighet
(accurate)
1-5</t>
        </is>
      </c>
      <c r="E5" s="11" t="inlineStr">
        <is>
          <t>Grundighet
(thorough)
1-5</t>
        </is>
      </c>
      <c r="F5" s="11" t="inlineStr">
        <is>
          <t>Nytteverdi
(useful)
1-5</t>
        </is>
      </c>
      <c r="G5" s="11" t="inlineStr">
        <is>
          <t>Organisert
(organized)
1-5</t>
        </is>
      </c>
      <c r="H5" s="11" t="inlineStr">
        <is>
          <t>Forståelig
(comprehensible)
1-5</t>
        </is>
      </c>
      <c r="I5" s="11" t="inlineStr">
        <is>
          <t>Kortfattet
(succinct)
1-5</t>
        </is>
      </c>
      <c r="J5" s="11" t="inlineStr">
        <is>
          <t>Syntese nødvendig?
(abstraction)
0/1</t>
        </is>
      </c>
      <c r="K5" s="11" t="inlineStr">
        <is>
          <t>Synteseutførelse
(synthesized)
1-5/blank</t>
        </is>
      </c>
      <c r="L5" s="11" t="inlineStr">
        <is>
          <t>Stigma i sammendrag
(voice_summ)
0/1</t>
        </is>
      </c>
      <c r="M5" s="11" t="inlineStr">
        <is>
          <t>Stigma i transkript
(voice_note)
0/1</t>
        </is>
      </c>
      <c r="N5" s="11" t="inlineStr">
        <is>
          <t>Primary score
(snitt)</t>
        </is>
      </c>
      <c r="O5" s="11" t="inlineStr">
        <is>
          <t>Kommentar</t>
        </is>
      </c>
    </row>
    <row r="6" ht="210" customHeight="1">
      <c r="A6" s="12" t="inlineStr">
        <is>
          <t>01_zero_shot_minimal_baseline</t>
        </is>
      </c>
      <c r="B6" s="13" t="inlineStr">
        <is>
          <t>**S - Subjektive opplysninger**  
Pasienten oppsøker legevakt grunnet nakkesmerter etter bilulykke, oppgir siste ulykke i februar i år. Har hatt flere tidligere bilulykker, tidligere gått i terapi og vært operert etter en tidligere ulykke. Oppgir nakkesmerter siden siste ulykke. Smerteintensitet angis til 12/10. Beskriver smerten som skarp og invalidiserende, og oppgir at han ikke kan arbeide. Oppgir stivhet/bevegelsessmerter i nakken, hodepine, periodevis svimmelhet, fatigue siden ulykken, nummenhet i venstre arm og høyre ben, samt spasmer. Ingen nylige synsforstyrrelser. Oppgir tidligere behandling ved smerteklinikk og at han nylig har brukt fentanyl, men ikke fått resept de siste ukene.
**O - Objektive opplysninger**  
Ved klinisk undersøkelse ømhet ved palpasjon både midt over cervica…</t>
        </is>
      </c>
      <c r="C6" s="14" t="n"/>
      <c r="D6" s="14" t="n"/>
      <c r="E6" s="14" t="n"/>
      <c r="F6" s="14" t="n"/>
      <c r="G6" s="14" t="n"/>
      <c r="H6" s="14" t="n"/>
      <c r="I6" s="14" t="n"/>
      <c r="J6" s="14" t="n"/>
      <c r="K6" s="14" t="n"/>
      <c r="L6" s="14" t="n"/>
      <c r="M6" s="14" t="n"/>
      <c r="N6" s="15">
        <f>IF(COUNT(C6:I6)&lt;7,"",IF(J6=1,IF(ISNUMBER(K6),ROUND((SUM(C6:I6)+K6)/8,4),"venter på synthesized"),ROUND(AVERAGE(C6:I6),4)))</f>
        <v/>
      </c>
      <c r="O6" s="16" t="n"/>
    </row>
    <row r="7" ht="210" customHeight="1">
      <c r="A7" s="12" t="inlineStr">
        <is>
          <t>02_zero_shot_structured_instruction</t>
        </is>
      </c>
      <c r="B7" s="13" t="inlineStr">
        <is>
          <t>S - Subjektive opplysninger:
- Oppsøker for nakkesmerter etter bilulykke. Pasienten oppgir flere tidligere bilulykker, men beskriver at han var bra frem til siste ulykke.
- Siste bilulykke oppgis å ha vært i februar, trolig i år, med nakkesmerter siden da.
- Oppgir svært sterke smerter, skarpe og «inkapasiterende», og sier at han ikke kan arbeide.
- Oppgir stivhet/bevegelsesvansker i nakken, hodepine, tidvis svimmelhet, nummenhet i venstre arm og høyre ben, spasmer og tretthet siden ulykken.
- Benekter nylige synsforstyrrelser.
- Oppgir tidligere behandling ved smerteklinikk og at han tidligere nylig har brukt fentanyl, men ikke fått resept de siste ukene.
- Oppgir tidligere terapi etter en tidligere bilulykke og kirurgi etter en tredje bilulykke.
O - Objektive opplysninger:
- Ved undersø…</t>
        </is>
      </c>
      <c r="C7" s="14" t="n"/>
      <c r="D7" s="14" t="n"/>
      <c r="E7" s="14" t="n"/>
      <c r="F7" s="14" t="n"/>
      <c r="G7" s="14" t="n"/>
      <c r="H7" s="14" t="n"/>
      <c r="I7" s="14" t="n"/>
      <c r="J7" s="14" t="n"/>
      <c r="K7" s="14" t="n"/>
      <c r="L7" s="14" t="n"/>
      <c r="M7" s="14" t="n"/>
      <c r="N7" s="15">
        <f>IF(COUNT(C7:I7)&lt;7,"",IF(J7=1,IF(ISNUMBER(K7),ROUND((SUM(C7:I7)+K7)/8,4),"venter på synthesized"),ROUND(AVERAGE(C7:I7),4)))</f>
        <v/>
      </c>
      <c r="O7" s="16" t="n"/>
    </row>
    <row r="8" ht="210" customHeight="1">
      <c r="A8" s="12" t="inlineStr">
        <is>
          <t>03_one_shot</t>
        </is>
      </c>
      <c r="B8" s="13" t="inlineStr">
        <is>
          <t>S - Subjektive opplysninger:
- Oppsøker for nakkesmerter etter bilulykke, oppgir at siste ulykke var i februar i år og at nakkesmertene har vært til stede siden da.
- Oppgir svært sterke smerter, beskrevet som skarpe og invalidiserende, med stivhet og smerter ved bevegelse av nakken. Sier at han ikke kan arbeide slik det er nå.
- Oppgir hodepine, tidvis svimmelhet, ingen nylige synsforstyrrelser.
- Oppgir nummenhet i venstre arm og høyre ben.
- Oppgir spasmer og tretthet siden ulykken.
- Opplyser om tidligere bilulykker, tidligere terapi over noen måneder og at han etter en tredje ulykke hadde kirurgi; sier at han var bra frem til denne ulykken.
- Oppgir tidligere kontakt med smerteklinikk og at han nylig hadde vært behandlet med fentanyl, men ikke hatt resept de siste ukene.
O - Objektiv…</t>
        </is>
      </c>
      <c r="C8" s="14" t="n"/>
      <c r="D8" s="14" t="n"/>
      <c r="E8" s="14" t="n"/>
      <c r="F8" s="14" t="n"/>
      <c r="G8" s="14" t="n"/>
      <c r="H8" s="14" t="n"/>
      <c r="I8" s="14" t="n"/>
      <c r="J8" s="14" t="n"/>
      <c r="K8" s="14" t="n"/>
      <c r="L8" s="14" t="n"/>
      <c r="M8" s="14" t="n"/>
      <c r="N8" s="15">
        <f>IF(COUNT(C8:I8)&lt;7,"",IF(J8=1,IF(ISNUMBER(K8),ROUND((SUM(C8:I8)+K8)/8,4),"venter på synthesized"),ROUND(AVERAGE(C8:I8),4)))</f>
        <v/>
      </c>
      <c r="O8" s="16" t="n"/>
    </row>
    <row r="9" ht="210" customHeight="1">
      <c r="A9" s="12" t="inlineStr">
        <is>
          <t>04_two_shot</t>
        </is>
      </c>
      <c r="B9" s="13" t="inlineStr">
        <is>
          <t>S - Subjektive opplysninger:
- Oppsøker for nakkesmerter etter bilulykke, mest nylige ulykke oppgis å ha vært i februar, med nakkesmerter siden da.
- Oppgir svært sterke smerter, beskrevet som skarpe og invalidiserende, og sier at han ikke kan arbeide.
- Oppgir stivhet og smerter ved bevegelse av nakken.
- Oppgir hodepine, tidvis svimmelhet, fatigue siden ulykken, nummenhet i venstre arm og høyre ben, samt spasmer.
- Benekter nylige synsforstyrrelser.
- Oppgir tidligere flere bilulykker; var i terapi i noen måneder etter en tidligere ulykke og hadde kirurgi etter en tredje ulykke. Det fremgår ikke hvilken kirurgi.
- Oppgir tidligere behandling ved smerteklinikk og at han nylig hadde vært på fentanyl, men ikke hatt resept de siste ukene.
- Oppgir selv at det av og til kommer blåmerker/hevel…</t>
        </is>
      </c>
      <c r="C9" s="14" t="n"/>
      <c r="D9" s="14" t="n"/>
      <c r="E9" s="14" t="n"/>
      <c r="F9" s="14" t="n"/>
      <c r="G9" s="14" t="n"/>
      <c r="H9" s="14" t="n"/>
      <c r="I9" s="14" t="n"/>
      <c r="J9" s="14" t="n"/>
      <c r="K9" s="14" t="n"/>
      <c r="L9" s="14" t="n"/>
      <c r="M9" s="14" t="n"/>
      <c r="N9" s="15">
        <f>IF(COUNT(C9:I9)&lt;7,"",IF(J9=1,IF(ISNUMBER(K9),ROUND((SUM(C9:I9)+K9)/8,4),"venter på synthesized"),ROUND(AVERAGE(C9:I9),4)))</f>
        <v/>
      </c>
      <c r="O9" s="16" t="n"/>
    </row>
    <row r="10" ht="210" customHeight="1">
      <c r="A10" s="12" t="inlineStr">
        <is>
          <t>05_two_shot_decomposition</t>
        </is>
      </c>
      <c r="B10" s="13" t="inlineStr">
        <is>
          <t>S - Subjektive opplysninger:
- Oppsøker for nakkesmerter etter bilulykke i februar i år, med smerter siden da.
- Oppgir svært sterke nakkesmerter, beskrevet som skarpe og invalidiserende, med stivhet og at han ikke kan arbeide.
- Oppgir hodepine, tidvis svimmelhet, nummenhet i venstre arm og høyre ben, spasmer og tretthet siden ulykken.
- Benekter nylige synsforstyrrelser.
- Oppgir tidligere flere bilulykker, tidligere fysioterapi over noen måneder etter en tidligere ulykke, og kirurgi etter en tredje ulykke. Oppgir også tidligere oppfølging ved smerteklinikk.
- Opplyser at han nylig har brukt fentanyl, men ikke hatt resept de siste ukene.
O - Objektive opplysninger:
- Ved undersøkelse ømhet ved palpasjon både over cervicale benete strukturer og muskulatur.
- Moderat bevegelsesutslag i na…</t>
        </is>
      </c>
      <c r="C10" s="14" t="n"/>
      <c r="D10" s="14" t="n"/>
      <c r="E10" s="14" t="n"/>
      <c r="F10" s="14" t="n"/>
      <c r="G10" s="14" t="n"/>
      <c r="H10" s="14" t="n"/>
      <c r="I10" s="14" t="n"/>
      <c r="J10" s="14" t="n"/>
      <c r="K10" s="14" t="n"/>
      <c r="L10" s="14" t="n"/>
      <c r="M10" s="14" t="n"/>
      <c r="N10" s="15">
        <f>IF(COUNT(C10:I10)&lt;7,"",IF(J10=1,IF(ISNUMBER(K10),ROUND((SUM(C10:I10)+K10)/8,4),"venter på synthesized"),ROUND(AVERAGE(C10:I10),4)))</f>
        <v/>
      </c>
      <c r="O10" s="16" t="n"/>
    </row>
    <row r="11" ht="210" customHeight="1">
      <c r="A11" s="12" t="inlineStr">
        <is>
          <t>06_two_shot_self_criticism</t>
        </is>
      </c>
      <c r="B11" s="13" t="inlineStr">
        <is>
          <t>S - Subjektive opplysninger:
- Oppsøker for nakkesmerter etter bilulykke, oppgir at siste ulykke var i februar i år og at nakkesmertene har vært til stede siden da.
- Oppgir svært sterke smerter, beskrevet som skarpe og «inkapasiterende», samt at han ikke kan arbeide på grunn av smertene.
- Oppgir stivhet og smerter ved bevegelse av nakken.
- Oppgir hodepine, tidvis svimmelhet, ingen nylige synsforstyrrelser.
- Oppgir nummenhet i venstre arm og høyre ben, samt spasmer. Oppgir også tretthet siden ulykken.
- Tidligere opplyst om flere bilulykker; pasienten sier at han etter en tidligere ulykke gikk i terapi i noen måneder, og etter en tredje ulykke hadde kirurgi. Detaljer og tidspunkt uklare.
- Oppgir tidligere behandling ved smerteklinikk og at han nylig har brukt fentanyl, men ikke hatt re…</t>
        </is>
      </c>
      <c r="C11" s="14" t="n"/>
      <c r="D11" s="14" t="n"/>
      <c r="E11" s="14" t="n"/>
      <c r="F11" s="14" t="n"/>
      <c r="G11" s="14" t="n"/>
      <c r="H11" s="14" t="n"/>
      <c r="I11" s="14" t="n"/>
      <c r="J11" s="14" t="n"/>
      <c r="K11" s="14" t="n"/>
      <c r="L11" s="14" t="n"/>
      <c r="M11" s="14" t="n"/>
      <c r="N11" s="15">
        <f>IF(COUNT(C11:I11)&lt;7,"",IF(J11=1,IF(ISNUMBER(K11),ROUND((SUM(C11:I11)+K11)/8,4),"venter på synthesized"),ROUND(AVERAGE(C11:I11),4)))</f>
        <v/>
      </c>
      <c r="O11" s="16" t="n"/>
    </row>
    <row r="12" ht="210" customHeight="1">
      <c r="A12" s="12" t="inlineStr">
        <is>
          <t>07_two_shot_decomposition_self_criticism</t>
        </is>
      </c>
      <c r="B12" s="13" t="inlineStr">
        <is>
          <t>S - Subjektive opplysninger:
- Oppsøker for nakkesmerter etter bilulykke, oppgir at siste ulykke var i februar i år og at nakkesmertene har vært til stede siden da.
- Oppgir svært sterke smerter, beskrevet som skarpe og invalidiserende, med stivhet og smerter ved bevegelse av nakken. Sier at han ikke kan arbeide slik det er nå.
- Oppgir hodepine, tidvis svimmelhet, ingen nylige synsforstyrrelser.
- Oppgir nummenhet i venstre arm og høyre ben, samt spasmer. Oppgir også tretthet siden ulykken.
- Opplyser om tidligere bilulykker, tidligere terapi og at han etter en tidligere ulykke hadde kirurgi. Har vært ved smerteklinikk og oppgir tidligere behandling med fentanyl, men ingen resept de siste ukene.
O - Objektive opplysninger:
- Ved undersøkelse ømhet ved palpasjon både over midtlinje/benytt…</t>
        </is>
      </c>
      <c r="C12" s="14" t="n"/>
      <c r="D12" s="14" t="n"/>
      <c r="E12" s="14" t="n"/>
      <c r="F12" s="14" t="n"/>
      <c r="G12" s="14" t="n"/>
      <c r="H12" s="14" t="n"/>
      <c r="I12" s="14" t="n"/>
      <c r="J12" s="14" t="n"/>
      <c r="K12" s="14" t="n"/>
      <c r="L12" s="14" t="n"/>
      <c r="M12" s="14" t="n"/>
      <c r="N12" s="15">
        <f>IF(COUNT(C12:I12)&lt;7,"",IF(J12=1,IF(ISNUMBER(K12),ROUND((SUM(C12:I12)+K12)/8,4),"venter på synthesized"),ROUND(AVERAGE(C12:I12),4)))</f>
        <v/>
      </c>
      <c r="O12" s="16" t="n"/>
    </row>
    <row r="13" ht="210" customHeight="1">
      <c r="A13" s="12" t="inlineStr">
        <is>
          <t>08_two_shot_decomposition_self_criticism_ensemble</t>
        </is>
      </c>
      <c r="B13" s="13" t="inlineStr">
        <is>
          <t>S - Subjektive opplysninger:
- Oppsøker for nakkesmerter etter bilulykke i februar i år, med smerter siden da.
- Oppgir svært sterke smerter, beskrevet som skarpe og «inkapasiterende», med stivhet og at han ikke kan arbeide.
- Oppgir hodepine, tidvis svimmelhet, nummenhet i venstre arm og høyre ben, spasmer og tretthet siden ulykken.
- Benekter nylige synsforstyrrelser.
- Oppgir tidligere flere bilulykker; etter en tidligere ulykke gikk han i terapi i noen måneder, og etter en annen hadde han kirurgi. Detaljer uklare.
- Oppgir tidligere behandling ved smerteklinikk og at han nylig har brukt fentanyl, men ikke fått resept de siste ukene.
O - Objektive opplysninger:
- Ved undersøkelse ømhet ved palpasjon både over midtlinje/benyttet i nakken og lateralt i muskulaturen.
- Moderat bevegelsesu…</t>
        </is>
      </c>
      <c r="C13" s="14" t="n"/>
      <c r="D13" s="14" t="n"/>
      <c r="E13" s="14" t="n"/>
      <c r="F13" s="14" t="n"/>
      <c r="G13" s="14" t="n"/>
      <c r="H13" s="14" t="n"/>
      <c r="I13" s="14" t="n"/>
      <c r="J13" s="14" t="n"/>
      <c r="K13" s="14" t="n"/>
      <c r="L13" s="14" t="n"/>
      <c r="M13" s="14" t="n"/>
      <c r="N13" s="15">
        <f>IF(COUNT(C13:I13)&lt;7,"",IF(J13=1,IF(ISNUMBER(K13),ROUND((SUM(C13:I13)+K13)/8,4),"venter på synthesized"),ROUND(AVERAGE(C13:I13),4)))</f>
        <v/>
      </c>
      <c r="O13" s="16" t="n"/>
    </row>
  </sheetData>
  <mergeCells count="3">
    <mergeCell ref="A1:O1"/>
    <mergeCell ref="A3:O3"/>
    <mergeCell ref="A2:O2"/>
  </mergeCells>
  <conditionalFormatting sqref="C6:C13">
    <cfRule type="expression" priority="1" dxfId="0">
      <formula>ISBLANK(C6)</formula>
    </cfRule>
  </conditionalFormatting>
  <conditionalFormatting sqref="D6:D13">
    <cfRule type="expression" priority="2" dxfId="0">
      <formula>ISBLANK(D6)</formula>
    </cfRule>
  </conditionalFormatting>
  <conditionalFormatting sqref="E6:E13">
    <cfRule type="expression" priority="3" dxfId="0">
      <formula>ISBLANK(E6)</formula>
    </cfRule>
  </conditionalFormatting>
  <conditionalFormatting sqref="F6:F13">
    <cfRule type="expression" priority="4" dxfId="0">
      <formula>ISBLANK(F6)</formula>
    </cfRule>
  </conditionalFormatting>
  <conditionalFormatting sqref="G6:G13">
    <cfRule type="expression" priority="5" dxfId="0">
      <formula>ISBLANK(G6)</formula>
    </cfRule>
  </conditionalFormatting>
  <conditionalFormatting sqref="H6:H13">
    <cfRule type="expression" priority="6" dxfId="0">
      <formula>ISBLANK(H6)</formula>
    </cfRule>
  </conditionalFormatting>
  <conditionalFormatting sqref="I6:I13">
    <cfRule type="expression" priority="7" dxfId="0">
      <formula>ISBLANK(I6)</formula>
    </cfRule>
  </conditionalFormatting>
  <conditionalFormatting sqref="J6:J13">
    <cfRule type="expression" priority="8" dxfId="0">
      <formula>ISBLANK(J6)</formula>
    </cfRule>
  </conditionalFormatting>
  <conditionalFormatting sqref="L6:L13">
    <cfRule type="expression" priority="9" dxfId="0">
      <formula>ISBLANK(L6)</formula>
    </cfRule>
  </conditionalFormatting>
  <conditionalFormatting sqref="M6:M13">
    <cfRule type="expression" priority="10" dxfId="0">
      <formula>ISBLANK(M6)</formula>
    </cfRule>
  </conditionalFormatting>
  <dataValidations count="3">
    <dataValidation sqref="C6 C7 C8 C9 C10 C11 C12 C13 D6 D7 D8 D9 D10 D11 D12 D13 E6 E7 E8 E9 E10 E11 E12 E13 F6 F7 F8 F9 F10 F11 F12 F13 G6 G7 G8 G9 G10 G11 G12 G13 H6 H7 H8 H9 H10 H11 H12 H13 I6 I7 I8 I9 I10 I11 I12 I13" showDropDown="0" showInputMessage="0" showErrorMessage="0" allowBlank="0" errorTitle="Ugyldig" error="Skriv et heltall mellom 1 og 5." type="whole" operator="between">
      <formula1>1</formula1>
      <formula2>5</formula2>
    </dataValidation>
    <dataValidation sqref="J6 J7 J8 J9 J10 J11 J12 J13 L6 L7 L8 L9 L10 L11 L12 L13 M6 M7 M8 M9 M10 M11 M12 M13" showDropDown="0" showInputMessage="0" showErrorMessage="0" allowBlank="0" errorTitle="Ugyldig" error="Skriv 0 eller 1." type="whole" operator="between">
      <formula1>0</formula1>
      <formula2>1</formula2>
    </dataValidation>
    <dataValidation sqref="K6 K7 K8 K9 K10 K11 K12 K13" showDropDown="0" showInputMessage="0" showErrorMessage="0" allowBlank="1" errorTitle="Ugyldig" error="Skriv et heltall 1-5, eller la cellen stå tom." type="whole" operator="between">
      <formula1>1</formula1>
      <formula2>5</formula2>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B1:C95"/>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4" customWidth="1" min="1" max="1"/>
    <col width="24" customWidth="1" min="2" max="2"/>
    <col width="110" customWidth="1" min="3" max="3"/>
  </cols>
  <sheetData>
    <row r="1">
      <c r="B1" s="8" t="inlineStr">
        <is>
          <t>Samtale 3: 2-aci</t>
        </is>
      </c>
    </row>
    <row r="2">
      <c r="B2" s="2" t="inlineStr">
        <is>
          <t>Gå til scoring-fanen «Samtale 3 – Scoring» når du har lest gjennom.</t>
        </is>
      </c>
    </row>
    <row r="4">
      <c r="B4" s="9" t="inlineStr">
        <is>
          <t>TRANSKRIPT (kildesamtale)</t>
        </is>
      </c>
    </row>
    <row r="5" ht="30" customHeight="1">
      <c r="C5" s="4" t="inlineStr">
        <is>
          <t>[doctor] hey gregory good to see you today so take a look at my notes and i see that you're here you've had a nonhealing foot ulcer so can you tell me how you're doing how long have you had it what's going on with it</t>
        </is>
      </c>
    </row>
    <row r="6" ht="30" customHeight="1">
      <c r="C6" s="4" t="inlineStr">
        <is>
          <t>[patient] sure so i've had it for about two months now and it's recently become red and is draining so i was concerned about how it's healed</t>
        </is>
      </c>
    </row>
    <row r="7" ht="30" customHeight="1">
      <c r="C7" s="4" t="inlineStr">
        <is>
          <t>[doctor] okay and when you when you got it would you have any trauma to your foot or it just just did it pop up all of a sudden</t>
        </is>
      </c>
    </row>
    <row r="8" ht="15" customHeight="1">
      <c r="C8" s="4" t="inlineStr">
        <is>
          <t>[patient] i think i may have gotten it from walking barefoot on the beach</t>
        </is>
      </c>
    </row>
    <row r="9" ht="15" customHeight="1">
      <c r="C9" s="4" t="inlineStr">
        <is>
          <t>[doctor] okay alright and i saw you you did see your pcp before you came in did they put you on antibiotics</t>
        </is>
      </c>
    </row>
    <row r="10" ht="15" customHeight="1">
      <c r="C10" s="4" t="inlineStr">
        <is>
          <t>[patient] they did start me on some medication but i did n't i did n't pick them up from the pharmacy yet</t>
        </is>
      </c>
    </row>
    <row r="11" ht="15" customHeight="1">
      <c r="C11" s="4" t="inlineStr">
        <is>
          <t>[doctor] okay do you know which ones that they prescribed for you</t>
        </is>
      </c>
    </row>
    <row r="12" ht="15" customHeight="1">
      <c r="C12" s="4" t="inlineStr">
        <is>
          <t>[patient] i do n't recall the name exactly</t>
        </is>
      </c>
    </row>
    <row r="13" ht="15" customHeight="1">
      <c r="C13" s="4" t="inlineStr">
        <is>
          <t>[doctor] do n't recall alright</t>
        </is>
      </c>
    </row>
    <row r="14" ht="15" customHeight="1">
      <c r="C14" s="4" t="inlineStr">
        <is>
          <t>[patient] something i had taken it before</t>
        </is>
      </c>
    </row>
    <row r="15" ht="15" customHeight="1">
      <c r="C15" s="4" t="inlineStr">
        <is>
          <t>[doctor] okay so when you what beach did you go to when you you hurt it</t>
        </is>
      </c>
    </row>
    <row r="16" ht="15" customHeight="1">
      <c r="C16" s="4" t="inlineStr">
        <is>
          <t>[patient] i'm sorry</t>
        </is>
      </c>
    </row>
    <row r="17" ht="15" customHeight="1">
      <c r="C17" s="4" t="inlineStr">
        <is>
          <t>[doctor] so i was asking which beach did you did you go to when you hurt your foot</t>
        </is>
      </c>
    </row>
    <row r="18" ht="15" customHeight="1">
      <c r="C18" s="4" t="inlineStr">
        <is>
          <t>[patient] at i was at dewey beach in my ambulance</t>
        </is>
      </c>
    </row>
    <row r="19" ht="30" customHeight="1">
      <c r="C19" s="4" t="inlineStr">
        <is>
          <t>[doctor] dewey beach wow that sounds like fun i wish i could be a mab right now but all or as lucky as i guess as you are to go to dewey beach okay so does it hurt</t>
        </is>
      </c>
    </row>
    <row r="20" ht="30" customHeight="1">
      <c r="C20" s="4" t="inlineStr">
        <is>
          <t>[patient] it sometimes it throbs does n't i do n't have specific pain but sometimes it does feel like there is some throbbing going on and again my my biggest concern is the it started to drain and it looks a little red</t>
        </is>
      </c>
    </row>
    <row r="21" ht="15" customHeight="1">
      <c r="C21" s="4" t="inlineStr">
        <is>
          <t>[doctor] okay</t>
        </is>
      </c>
    </row>
    <row r="22" ht="15" customHeight="1">
      <c r="C22" s="4" t="inlineStr">
        <is>
          <t>[patient] i have n't had that before</t>
        </is>
      </c>
    </row>
    <row r="23" ht="30" customHeight="1">
      <c r="C23" s="4" t="inlineStr">
        <is>
          <t>[doctor] okay and that makes sense alright so as far as your diabetes you know and i think that's probably a a major cause of this not being able to heal how well are how well is that controlled</t>
        </is>
      </c>
    </row>
    <row r="24" ht="15" customHeight="1">
      <c r="C24" s="4" t="inlineStr">
        <is>
          <t>[patient] i take my medication but i do n't check my sugar all the time</t>
        </is>
      </c>
    </row>
    <row r="25" ht="15" customHeight="1">
      <c r="C25" s="4" t="inlineStr">
        <is>
          <t>[doctor] okay do you</t>
        </is>
      </c>
    </row>
    <row r="26" ht="15" customHeight="1">
      <c r="C26" s="4" t="inlineStr">
        <is>
          <t>[patient] i'm not really sure how</t>
        </is>
      </c>
    </row>
    <row r="27" ht="15" customHeight="1">
      <c r="C27" s="4" t="inlineStr">
        <is>
          <t>[doctor] okay do you know what your last a1c is i'm pretty sure you doc talk to you about it</t>
        </is>
      </c>
    </row>
    <row r="28" ht="15" customHeight="1">
      <c r="C28" s="4" t="inlineStr">
        <is>
          <t>[patient] i think they told me it was around ten</t>
        </is>
      </c>
    </row>
    <row r="29" ht="120" customHeight="1">
      <c r="C29" s="4" t="inlineStr">
        <is>
          <t>[doctor] around ten okay yeah that that's that's definitely pretty high yeah you definitely if your if your pcp has n't gotten created treatment plan for you definitely need to go back and see them so you can get that controlled alright so let me do a quick physical exam on your foot here today your vital signs look normal you do n't have a fever so let me just take a look at your foot so on your foot exam there is a one by two inch circular wound on the dorsal aspect of the lateral right foot so it's just proximal to the fifth mtp joint there is some redness some drainage present you have some edema around it there is fluid like you said that's coming out of it i do n't see any necrosis you do n't have any odor and i do n't appreciate any bony exposure so it pretty much is like you said it's it's red it's swollen i think you have an infection in there as well so when i touch it does that hurt</t>
        </is>
      </c>
    </row>
    <row r="30" ht="15" customHeight="1">
      <c r="C30" s="4" t="inlineStr">
        <is>
          <t>[patient] no i i feel like increased pressure but it's not distinct</t>
        </is>
      </c>
    </row>
    <row r="31" ht="120" customHeight="1">
      <c r="C31" s="4" t="inlineStr">
        <is>
          <t>[doctor] okay alright that's good so before you came in we did get an x-ray of your right foot and there is no evidence of osteomyelitis that means that luckily you do n't have a bone infection so that's great i think it's just in your skin so let's talk a little bit about your assessment and plan so you do have that diabetic foot ulcer and what i wan na do is i wan na order an abi ankle brachial index just to determine the blood supply in your foot to see if we can actually heal that ulcer i'm gon na also perform a debridement here just to take off some of that dead tissue and then i'm gon na prescribe you some clindamycin you can do that four hundred milligrams you take that for seven days take that twice a day just to try to get rid of that infection which you currently do have and that will get rid of some of that that redness and and drainage that that's happening right now did your doc did your pcp give you a surgical shoe something that you would wear while this is happening</t>
        </is>
      </c>
    </row>
    <row r="32" ht="15" customHeight="1">
      <c r="C32" s="4" t="inlineStr">
        <is>
          <t>[patient] they did n't they mentioned that you may be able to give it to me</t>
        </is>
      </c>
    </row>
    <row r="33" ht="75" customHeight="1">
      <c r="C33" s="4" t="inlineStr">
        <is>
          <t>[doctor] okay yeah we could definitely get you a a shoe because if you wear your regular shoes that pressure on that foot can really irritate it and take you backwards so i'll get you a shoe where you can wear that for the next month you know we just wan na make sure that it does heal and then i wan na see you back again in two weeks and we can we'll possibly do another debridement at that time we'll just take a look and see how the tissue is doing so how does that sound</t>
        </is>
      </c>
    </row>
    <row r="34" ht="15" customHeight="1">
      <c r="C34" s="4" t="inlineStr">
        <is>
          <t>[patient] that sounds great</t>
        </is>
      </c>
    </row>
    <row r="35" ht="15" customHeight="1">
      <c r="C35" s="4" t="inlineStr">
        <is>
          <t>[doctor] alright do you have any other question</t>
        </is>
      </c>
    </row>
    <row r="36" ht="15" customHeight="1">
      <c r="C36" s="4" t="inlineStr">
        <is>
          <t>[patient] i do if anything happens in between</t>
        </is>
      </c>
    </row>
    <row r="37" ht="60" customHeight="1">
      <c r="C37" s="4" t="inlineStr">
        <is>
          <t>[doctor] please feel free to call the office yeah please feel free to call you call the office we can definitely get you in you know if you are having any other issues and if it's an emergency if you feel like you're getting a fever feeling well please go to the urgent care or the er if you feel getting black or anything like that but otherwise we'll see you back in two weeks</t>
        </is>
      </c>
    </row>
    <row r="38" ht="15" customHeight="1">
      <c r="C38" s="4" t="inlineStr">
        <is>
          <t>[patient] okay sounds great thanks document</t>
        </is>
      </c>
    </row>
    <row r="39" ht="15" customHeight="1">
      <c r="C39" s="4" t="inlineStr">
        <is>
          <t>[doctor] alright great</t>
        </is>
      </c>
    </row>
    <row r="42">
      <c r="B42" s="9" t="inlineStr">
        <is>
          <t>REFERANSENOTAT (tgt – 'gold standard')</t>
        </is>
      </c>
    </row>
    <row r="43" ht="15" customHeight="1">
      <c r="C43" s="4" t="inlineStr">
        <is>
          <t>CHIEF COMPLAINT</t>
        </is>
      </c>
    </row>
    <row r="45" ht="15" customHeight="1">
      <c r="C45" s="4" t="inlineStr">
        <is>
          <t>Right foot ulcer.</t>
        </is>
      </c>
    </row>
    <row r="47" ht="15" customHeight="1">
      <c r="C47" s="4" t="inlineStr">
        <is>
          <t>HISTORY OF PRESENT ILLNESS</t>
        </is>
      </c>
    </row>
    <row r="49" ht="75" customHeight="1">
      <c r="C49" s="4" t="inlineStr">
        <is>
          <t>Gregory Hernandez is a pleasant 40-year-old male who presents to the clinic today for the evaluation of a non-healing right foot ulcer. Onset of ulcer was approximately 2 months ago after walking barefoot on the beach. He reports the ulcer has recently become red and is draining. At times he will also experience throbbing pain. He has seen his primary care physician and was prescribed antibiotics, however, he has not started them yet and does not recall the name of the medication.</t>
        </is>
      </c>
    </row>
    <row r="51" ht="30" customHeight="1">
      <c r="C51" s="4" t="inlineStr">
        <is>
          <t>The patient is a diabetic. He is taking medication for this, however, he does not monitor his blood sugar consistently. His last A1C was around 10.</t>
        </is>
      </c>
    </row>
    <row r="53" ht="15" customHeight="1">
      <c r="C53" s="4" t="inlineStr">
        <is>
          <t>MEDICAL HISTORY</t>
        </is>
      </c>
    </row>
    <row r="55" ht="15" customHeight="1">
      <c r="C55" s="4" t="inlineStr">
        <is>
          <t>Patient reports history of diabetes.</t>
        </is>
      </c>
    </row>
    <row r="57" ht="15" customHeight="1">
      <c r="C57" s="4" t="inlineStr">
        <is>
          <t>REVIEW OF SYSTEMS</t>
        </is>
      </c>
    </row>
    <row r="59" ht="15" customHeight="1">
      <c r="C59" s="4" t="inlineStr">
        <is>
          <t>Musculoskeletal: Reports right foot pain.</t>
        </is>
      </c>
    </row>
    <row r="60" ht="15" customHeight="1">
      <c r="C60" s="4" t="inlineStr">
        <is>
          <t>Skin: Reports right foot ulcer with redness and drainage.</t>
        </is>
      </c>
    </row>
    <row r="62" ht="15" customHeight="1">
      <c r="C62" s="4" t="inlineStr">
        <is>
          <t>VITALS</t>
        </is>
      </c>
    </row>
    <row r="64" ht="15" customHeight="1">
      <c r="C64" s="4" t="inlineStr">
        <is>
          <t>Vital signs are normal.</t>
        </is>
      </c>
    </row>
    <row r="66" ht="15" customHeight="1">
      <c r="C66" s="4" t="inlineStr">
        <is>
          <t>PHYSICAL EXAM</t>
        </is>
      </c>
    </row>
    <row r="68" ht="45" customHeight="1">
      <c r="C68" s="4" t="inlineStr">
        <is>
          <t>MSK: Examination of the right foot: There is a 1 x 2 inch circular wound on the dorsal aspect laterally just proximal to the 5th MTP joint. There is some redness and drainage present as well as edema. No necrosis, odor, or bony exposure. Nontender to palpation.</t>
        </is>
      </c>
    </row>
    <row r="70" ht="15" customHeight="1">
      <c r="C70" s="4" t="inlineStr">
        <is>
          <t>RESULTS</t>
        </is>
      </c>
    </row>
    <row r="72" ht="15" customHeight="1">
      <c r="C72" s="4" t="inlineStr">
        <is>
          <t>3 views of the right foot were taken. These reveal no evidence of osteomyelitis.</t>
        </is>
      </c>
    </row>
    <row r="74" ht="15" customHeight="1">
      <c r="C74" s="4" t="inlineStr">
        <is>
          <t>ASSESSMENT</t>
        </is>
      </c>
    </row>
    <row r="76" ht="15" customHeight="1">
      <c r="C76" s="4" t="inlineStr">
        <is>
          <t>Right diabetic foot ulcer.</t>
        </is>
      </c>
    </row>
    <row r="78" ht="15" customHeight="1">
      <c r="C78" s="4" t="inlineStr">
        <is>
          <t>PLAN</t>
        </is>
      </c>
    </row>
    <row r="80" ht="90" customHeight="1">
      <c r="C80" s="4" t="inlineStr">
        <is>
          <t>After reviewing the patient's examination and radiographic findings today, I have had a lengthy discussion with the patient in regards to his current symptoms. I have explained to him that his x-rays did not reveal any evidence of osteomyelitis. I have recommended that we obtain an ankle brachial index to determine the blood supply in his foot. Debridement will be performed. A prescription for clindamycin 400 mg 2 times per day for 7 days will be provided as he does seem to have an infection. He will also be placed in a surgical shoe to provide increased support for the next month.</t>
        </is>
      </c>
    </row>
    <row r="82" ht="15" customHeight="1">
      <c r="C82" s="4" t="inlineStr">
        <is>
          <t>INSTRUCTIONS</t>
        </is>
      </c>
    </row>
    <row r="84" ht="45" customHeight="1">
      <c r="C84" s="4" t="inlineStr">
        <is>
          <t>The patient will follow up with me in 2 weeks to assess his progress and for possible repeat debridement. He has been advised to call the office if his symptoms worsen and we will get him in sooner, however, if he starts to develop a fever or necrosis he has been instructed to go to the ER.</t>
        </is>
      </c>
    </row>
    <row r="87">
      <c r="B87" s="9" t="inlineStr">
        <is>
          <t>GENERERTE SAMMENDRAG (per strategi)</t>
        </is>
      </c>
    </row>
    <row r="88" ht="195" customHeight="1">
      <c r="B88" s="10" t="inlineStr">
        <is>
          <t>01_zero_shot_minimal_baseline</t>
        </is>
      </c>
      <c r="C88" s="4" t="inlineStr">
        <is>
          <t>**S - Subjektive opplysninger**  
Pasienten oppgir ikke-tilhelende sår på høyre fot gjennom ca. 2 måneder. Såret har nylig blitt rødt og væskende. Mulig oppstått etter å ha gått barbeint på stranden. Oppgir periodevis dunkende følelse, men ingen tydelig smerte. Har diabetes, tar medisiner, men kontrollerer ikke blodsukker regelmessig og er usikker på hvordan. Oppgir siste HbA1c til rundt 10. Har tidligere fått antibiotika forskrevet av fastlege, men har ikke hentet dem ut.
**O - Objektive opplysninger**  
Vitalia normale, afebril. Undersøkelse av høyre fot viser ca. 1 x 2 tommer sirkulært sår dorsolateralt på høyre fot, proksimalt for 5. MTP-ledd. Rødme, sekresjon og ødem rundt såret. Ingen nekrose, ingen lukt og ingen synlig beneksponering. Pasienten oppgir trykkfølelse ved berøring, men ikke tydelig smerte. Røntgen av høyre fot uten tegn til osteomyelitt.
**A - Vurdering**  
Diabetisk fotsår på høyre fot med kliniske tegn til lokal infeksjon. Dårlig regulert diabetes kan bidra til manglende tilheling. Ingen tegn til osteomyelitt på røntgen.
**P - Plan**  
Bestille ABI for vurdering av sirkulasjon i foten. Debridering utføres. Oppstart klindamycin 400 mg x 2 i 7 dager. Får kirurgisk sko for avlastning i omtrent 1 måned. Kontroll om 2 uker, med mulig ny debridering. Råd om å kontakte kontoret ved forverring, og oppsøke akutt hjelp ved feber, sykdomsfølelse eller dersom foten blir svart.</t>
        </is>
      </c>
    </row>
    <row r="89" ht="400" customHeight="1">
      <c r="B89" s="10" t="inlineStr">
        <is>
          <t>02_zero_shot_structured_instruction</t>
        </is>
      </c>
      <c r="C89" s="4" t="inlineStr">
        <is>
          <t>S - Subjektive opplysninger:
- Kontaktårsak: Ikke-tilhelende sår på høyre fot.
- Pasienten opplyser at såret har vært til stede i ca. 2 måneder. Nylig blitt rødt og begynt å væske/drenere. Opplever tidvis dunking/trykksensasjon, men ikke tydelig smerte.
- Mulig utløsende årsak oppgis å være at pasienten gikk barbeint på stranden.
- Har diabetes. Opplyser at han tar medisiner, men ikke kontrollerer blodsukker regelmessig og er usikker på hvordan. Oppgir at siste HbA1c var rundt 10.
- Har tidligere vært hos fastlege som startet antibiotika, men pasienten har ikke hentet medisinen på apoteket. Husker ikke preparatnavn.
- Benekter feber.
O - Objektive opplysninger:
- Vitalia omtales som normale, og pasienten er afebril.
- Fotundersøkelse: Ca. 1 x 2 tommer sirkulært sår på dorsolaterale høyre fot, proksimalt for 5. MTP-ledd. Rødhet, drenasje og ødem rundt såret. Ingen nekrose, ingen lukt og ingen synlig beneksponering.
- Ved palpasjon oppgir pasienten økt trykk, men ikke tydelig smerte.
- Tidligere opplysning fra dagens forløp: Røntgen av høyre fot før konsultasjonen viste ingen tegn til osteomyelitt.
A - Vurdering:
- Diabetisk fotsår på høyre fot med kliniske tegn til infeksjon i bløtvev/hud.
- Manglende tilheling vurderes å være relatert til diabetes; oppgitt HbA1c rundt 10 taler for dårlig glykemisk kontroll.
- Ingen røntgentegn til osteomyelitt per dagens undersøkelse.
P - Plan:
- Bestille ABI (ankel-brachial index) for vurdering av sirkulasjon/blodforsyning til foten.
- Debridering planlegges/utføres i konsultasjonen for å fjerne dødt vev.
- Klindamycin 450 mg x 2 i 7 dager forskrives mot infeksjon.
- Pasienten får kirurgisk sko for avlastning, anbefalt brukt neste måned.
- Kontroll om 2 uker, med mulig ny debridering avhengig av vevsforhold.
- Råd om å kontakte kontoret ved problemer før kontroll. Ved feber, sykdomsfølelse eller dersom området blir svart, anbefales vurdering på urgent care/akuttmottak.
- Anbefalt å følge opp hos fastlege for bedre diabeteskontroll.</t>
        </is>
      </c>
    </row>
    <row r="90" ht="375" customHeight="1">
      <c r="B90" s="10" t="inlineStr">
        <is>
          <t>03_one_shot</t>
        </is>
      </c>
      <c r="C90" s="4" t="inlineStr">
        <is>
          <t>S - Subjektive opplysninger:
- Kontaktårsak er ikke-tilhelende sår på høyre fot. Pasienten oppgir varighet ca. 2 måneder.
- Såret har nylig blitt rødt og begynt å drenere. Oppgir tidvis dunkende følelse, men ingen tydelig smerte; kjenner økt trykk ved berøring.
- Tror såret kan ha oppstått etter å ha gått barbeint på stranden.
- Har vært hos fastlege tidligere og fått antibiotika forskrevet, men har ikke hentet medisinen på apoteket. Husker ikke preparatnavn.
- Har diabetes, tar medisiner, men sjekker ikke blodsukker regelmessig og er usikker på hvordan. Oppgir at siste HbA1c var rundt 10.
O - Objektive opplysninger:
- Legen opplyser at vitale tegn er normale og at pasienten ikke har feber.
- Fotundersøkelse: ca. 1 x 2 tommer sirkulært sår på dorsolaterale høyre fot, proksimalt for 5. MTP-ledd. Rødhet, drenasje og ødem rundt såret. Ingen nekrose, ingen lukt og ingen synlig beneksponering.
- Tidligere i dagens forløp/tatt før konsultasjonen: røntgen av høyre fot uten tegn til osteomyelitt.
A - Vurdering:
- Diabetisk fotsår på høyre fot med kliniske tegn til infeksjon i bløtdeler.
- Ingen tegn til osteomyelitt på røntgen.
- Legen vurderer at diabetes kan være medvirkende til manglende tilheling.
P - Plan:
- Bestille ABI (ankel-brachial index) for vurdering av blodforsyning til foten.
- Debridering planlegges/gjøres i konsultasjonen for å fjerne dødt vev.
- Klindamycin 400 mg x 2 i 7 dager forskrives.
- Får kirurgisk sko/offloading-sko for bruk neste måned for å redusere trykk på foten.
- Råd om oppfølging hos fastlege for bedre diabeteskontroll.
- Kontroll om 2 uker; mulig ny debridering avhengig av sårtilheling.
- Bes ta kontakt med kontoret ved problemer før kontroll. Ved feber, sykdomsfølelse eller dersom området blir svart, råd om å oppsøke legevakt/akuttmottak.</t>
        </is>
      </c>
    </row>
    <row r="91" ht="400" customHeight="1">
      <c r="B91" s="10" t="inlineStr">
        <is>
          <t>04_two_shot</t>
        </is>
      </c>
      <c r="C91" s="4" t="inlineStr">
        <is>
          <t>S - Subjektive opplysninger:
- Oppsøker for ikke-tilhelende sår på høyre fot, til stede i ca. 2 måneder.
- Pasienten tror såret kan ha oppstått etter å ha gått barbeint på stranden.
- Oppgir at såret nylig har blitt rødt og begynt å drenere. Beskriver tidvis dunkende følelse, men ingen tydelig smerte.
- Har tidligere vært hos fastlege, som startet antibiotika, men pasienten har ikke hentet medisinen på apoteket. Husker ikke preparatnavn.
- Kjent diabetes. Oppgir at han tar medisiner, men ikke sjekker blodsukker regelmessig og er usikker på hvordan. Oppgir at siste HbA1c var rundt 10.
O - Objektive opplysninger:
- Vitalia oppgis som normale, og pasienten har ikke feber.
- Fotstatus: ca. 1 x 2 tommer sirkulært sår dorsolateralt på høyre fot, proksimalt for 5. MTP-ledd. Rødhet, drenasje og ødem rundt såret. Ingen nekrose, ingen lukt og ingen synlig beneksponering.
- Ved palpasjon oppgir pasienten trykkfølelse, men ikke tydelig smerte.
- Tidligere opplysning fra dagens utredning: Røntgen av høyre fot før konsultasjonen uten tegn til osteomyelitt.
A - Vurdering:
- Diabetisk fotsår på høyre fot med kliniske tegn til infeksjon i bløtvev, inkludert rødhet og drenasje.
- Ingen tegn til osteomyelitt på røntgen.
- Diabetes fremstår utilstrekkelig kontrollert ut fra pasientopplyst HbA1c rundt 10, og dette vurderes som medvirkende til manglende tilheling.
P - Plan:
- Bestille ABI (ankel-brachial index) for vurdering av blodforsyning til foten.
- Debridering utføres i konsultasjonen.
- Starte klindamycin 450 mg x 2 i 7 dager.
- Får kirurgisk sko for avlastning, anbefalt brukt neste måned.
- Kontroll om 2 uker, med mulig ny debridering avhengig av utvikling.
- Råd om å kontakte kontoret ved problemer før kontroll.
- Ved feber, sykdomsfølelse eller dersom området blir svart, rådes pasienten til å oppsøke legevakt/akuttmottak.
- Legen anbefaler også oppfølging hos fastlege for bedre diabeteskontroll dersom dette ikke allerede er etablert.</t>
        </is>
      </c>
    </row>
    <row r="92" ht="375" customHeight="1">
      <c r="B92" s="10" t="inlineStr">
        <is>
          <t>05_two_shot_decomposition</t>
        </is>
      </c>
      <c r="C92" s="4" t="inlineStr">
        <is>
          <t>S - Subjektive opplysninger:
- Oppsøker for ikke-tilhelende sår på høyre fot, til stede i ca. 2 måneder. Har nylig blitt rødt og væskende/drenerende, noe som bekymrer pasienten.
- Pasienten tror såret kan ha oppstått etter å ha gått barbeint på stranden.
- Oppgir tidvis dunkende følelse, men ikke tydelig smerte; ved berøring beskrives økt trykkfølelse heller enn distinkt smerte.
- Tidligere vurdert hos fastlege, som forskrev antibiotika, men pasienten har ikke hentet disse på apoteket. Husker ikke preparatnavn.
- Kjent diabetes. Oppgir at han tar medisiner, men ikke sjekker blodsukker regelmessig og er usikker på hvordan. Oppgir at siste HbA1c var rundt 10.
O - Objektive opplysninger:
- Vitalia oppgis som normale, og pasienten har ikke feber.
- Fotstatus: ca. 1 x 2 tommer sirkulært sår dorsolateralt på høyre fot, proksimalt for 5. MTP-ledd. Rødhet, drenasje og ødem rundt såret. Ingen nekrose, ingen lukt og ingen synlig beneksponering.
- Tidligere i forløpet/dagens utredning: Røntgen av høyre fot uten tegn til osteomyelitt.
A - Vurdering:
- Diabetisk fotsår på høyre fot med kliniske tegn til infeksjon i bløtvev, inkludert rødhet, drenasje og hevelse.
- Manglende tilheling vurderes også i sammenheng med diabetes som synes utilstrekkelig kontrollert ut fra oppgitt HbA1c rundt 10.
- Røntgen uten tegn til osteomyelitt.
P - Plan:
- Bestille ABI (ankel-brachial index) for vurdering av blodforsyning til foten.
- Debridering utføres i dag for å fjerne dødt vev.
- Starte klindamycin 400 mg x 2 i 7 dager.
- Utlevering av kirurgisk sko for avlastning; anbefales brukt neste måned for å redusere trykk på området.
- Kontroll om 2 uker, med mulig ny debridering avhengig av utvikling.
- Råd om å kontakte kontoret ved problemer før kontroll. Ved feber, sykdomsfølelse eller dersom området blir svart, anbefales vurdering på legevakt/akuttmottak.
- Anbefales å følge opp diabeteskontroll hos fastlege dersom dette ikke allerede er planlagt.</t>
        </is>
      </c>
    </row>
    <row r="93" ht="390" customHeight="1">
      <c r="B93" s="10" t="inlineStr">
        <is>
          <t>06_two_shot_self_criticism</t>
        </is>
      </c>
      <c r="C93" s="4" t="inlineStr">
        <is>
          <t>S - Subjektive opplysninger:
- Kontaktårsak er ikke-tilhelende sår på høyre fot. Pasienten oppgir varighet ca. 2 måneder.
- Opplyser at såret nylig har blitt rødt og væskende/drenerende. Beskriver tidvis dunking/”throbbing”, men ikke tydelig smerte.
- Tror såret kan ha oppstått etter å ha gått barbeint på stranden.
- Har vært hos fastlege tidligere og fått antibiotika forskrevet, men har ikke hentet medisinen på apoteket. Husker ikke preparatnavn.
- Kjent diabetes. Oppgir at han tar medisiner, men ikke sjekker blodsukker regelmessig og er usikker på hvordan. Oppgir at siste HbA1c var rundt 10.
O - Objektive opplysninger:
- Vitalia oppgis som normale, og pasienten har ikke feber.
- Fotstatus: ca. 1 x 2 tommer sirkulært sår dorsolateralt på høyre fot, proksimalt for 5. MTP-ledd. Rødhet, drenasje og ødem rundt såret. Ingen nekrose, ingen lukt og ingen synlig beneksponering.
- Ved berøring oppgir pasienten økt trykkfølelse, men ikke distinkt smerte.
- Tidligere i forløpet/dagens utredning: Røntgen av høyre fot viser ingen tegn til osteomyelitt.
A - Vurdering:
- Diabetisk fotsår på høyre fot med kliniske tegn til infeksjon i bløtvev/hud, inkludert rødhet, drenasje og hevelse.
- Ingen tegn til osteomyelitt på røntgen.
- Dårlig regulert diabetes kan bidra til manglende tilheling; pasienten oppgir HbA1c rundt 10.
P - Plan:
- Bestille ABI (ankel-brachial index) for vurdering av sirkulasjon/blodforsyning til foten.
- Debridering utføres i konsultasjonen.
- Starte klindamycin 450 mg x 2 i 7 dager.
- Pasienten får kirurgisk sko/offloading-sko og rådes til å bruke denne neste måned for å redusere trykk på foten.
- Kontroll om 2 uker, med mulig ny debridering avhengig av utvikling.
- Råd om å kontakte kontoret ved problemer før kontroll. Ved feber, sykdomsfølelse eller dersom området blir svart, rådes pasienten til å oppsøke legevakt/akuttmottak.
- Legen anbefaler også oppfølging hos fastlege for bedre diabeteskontroll dersom dette ikke allerede er etablert.</t>
        </is>
      </c>
    </row>
    <row r="94" ht="360" customHeight="1">
      <c r="B94" s="10" t="inlineStr">
        <is>
          <t>07_two_shot_decomposition_self_criticism</t>
        </is>
      </c>
      <c r="C94" s="4" t="inlineStr">
        <is>
          <t>S - Subjektive opplysninger:
- Kontaktårsak er ikke-tilhelende sår på høyre fot gjennom ca. 2 måneder. Pasienten oppgir at såret nylig har blitt rødt og væskende/drenerende.
- Tror såret kan ha oppstått etter å ha gått barbeint på stranden.
- Oppgir tidvis dunkende/throbbende følelse, men ingen tydelig smerte; kjenner mer trykk enn distinkt smerte.
- Tidligere vurdert hos fastlege, som startet antibiotika, men pasienten har ikke hentet medisinen og husker ikke navn.
- Kjent diabetes. Oppgir at han tar medisiner, men ikke sjekker blodsukker regelmessig og er usikker på hvordan. Oppgir at siste HbA1c var rundt 10.
O - Objektive opplysninger:
- Vitalia omtalt som normale, og pasienten har ikke feber.
- Fotstatus: ca. 1 x 2 tommer sirkulært sår dorsolateralt på høyre fot, proksimalt for 5. MTP-ledd. Rødhet, drenasje og ødem rundt såret. Ingen nekrose, ingen lukt og ingen synlig beneksponering.
- Tidligere i dagens forløp/tatt før konsultasjonen: røntgen av høyre fot uten tegn til osteomyelitt.
A - Vurdering:
- Diabetisk fotsår på høyre fot med kliniske tegn til infeksjon i bløtdeler, med rødhet, drenasje og hevelse. Ingen tegn til osteomyelitt på røntgen.
- Dårlig diabeteskontroll kan bidra til manglende tilheling; pasienten oppgir HbA1c rundt 10.
P - Plan:
- Bestille ABI (ankel-brachial index) for vurdering av blodforsyning til foten.
- Debridering utføres i konsultasjonen.
- Starte klindamycin 400 mg x 2 i 7 dager.
- Utlevere kirurgisk sko/offloading-sko for bruk neste måned for å redusere trykk på foten.
- Kontroll om 2 uker, med mulig ny debridering avhengig av utvikling.
- Råd om å kontakte kontoret ved problemer før kontroll. Ved feber, sykdomsfølelse, svart misfarging eller akutt forverring anbefales legevakt/akuttmottak.
- Anbefalt å følge opp diabeteskontroll hos fastlege dersom dette ikke allerede er planlagt.</t>
        </is>
      </c>
    </row>
    <row r="95" ht="375" customHeight="1">
      <c r="B95" s="10" t="inlineStr">
        <is>
          <t>08_two_shot_decomposition_self_criticism_ensemble</t>
        </is>
      </c>
      <c r="C95" s="4" t="inlineStr">
        <is>
          <t>S - Subjektive opplysninger:
- Pasienten oppsøker for ikke-tilhelende sår på høyre fot, til stede i ca. 2 måneder. Oppgir at såret nylig har blitt rødt og begynt å drenere.
- Tror såret kan ha oppstått etter å ha gått barbeint på stranden.
- Oppgir tidvis dunkende følelse/trykksensasjon, men ikke tydelig smerte ved berøring.
- Har vært hos fastlege tidligere og fått antibiotika forskrevet, men har ikke hentet medisinen; husker ikke preparatnavn.
- Kjent diabetes. Oppgir at han tar medisiner, men ikke kontrollerer blodsukker regelmessig og er usikker på hvordan. Oppgir at siste HbA1c var rundt 10.
O - Objektive opplysninger:
- Vitalia oppgis som normale, og pasienten er afebril.
- Fotstatus: ca. 1 x 2 tommer sirkulært sår dorsolateralt på høyre fot, proksimalt for 5. MTP-ledd. Rødhet, drenasje og ødem rundt såret. Ingen nekrose, ingen lukt og ingen synlig beneksponering.
- Tidligere i forløpet/dagens utredning: Røntgen av høyre fot uten tegn til osteomyelitt.
A - Vurdering:
- Diabetisk fotsår på høyre fot med kliniske tegn til infeksjon i bløtvev, inkludert rødhet og drenasje.
- Ingen tegn til osteomyelitt på røntgen.
- Høy oppgitt HbA1c rundt 10 kan være medvirkende til manglende tilheling.
P - Plan:
- Bestille ABI (ankel-brachial index) for vurdering av blodforsyning til foten.
- Debridering planlegges/gjøres i konsultasjonen.
- Starte klindamycin 400 mg x 2 i 7 dager.
- Får kirurgisk sko for avlastning; anbefalt bruk neste måned.
- Kontroll om 2 uker, med mulig ny debridering avhengig av utvikling.
- Råd om å kontakte kontoret ved forverring eller nye problemer. Ved feber, sykdomsfølelse eller dersom området blir svart, anbefales vurdering på legevakt/akuttmottak.
- Anbefalt å følge opp diabeteskontroll hos fastlege dersom dette ikke allerede er gjort.</t>
        </is>
      </c>
    </row>
  </sheetData>
  <mergeCells count="3">
    <mergeCell ref="B87:C87"/>
    <mergeCell ref="B4:C4"/>
    <mergeCell ref="B42:C4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13"/>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30" customWidth="1" min="1" max="1"/>
    <col width="60" customWidth="1" min="2" max="2"/>
    <col width="12" customWidth="1" min="3" max="3"/>
    <col width="12" customWidth="1" min="4" max="4"/>
    <col width="12" customWidth="1" min="5" max="5"/>
    <col width="12" customWidth="1" min="6" max="6"/>
    <col width="12" customWidth="1" min="7" max="7"/>
    <col width="12" customWidth="1" min="8" max="8"/>
    <col width="12" customWidth="1" min="9" max="9"/>
    <col width="11" customWidth="1" min="10" max="10"/>
    <col width="12" customWidth="1" min="11" max="11"/>
    <col width="11" customWidth="1" min="12" max="12"/>
    <col width="11" customWidth="1" min="13" max="13"/>
    <col width="12" customWidth="1" min="14" max="14"/>
    <col width="50" customWidth="1" min="15" max="15"/>
  </cols>
  <sheetData>
    <row r="1">
      <c r="A1" s="8" t="inlineStr">
        <is>
          <t>Samtale 3: 2-aci – manuell scoring</t>
        </is>
      </c>
    </row>
    <row r="2">
      <c r="A2" s="2" t="inlineStr">
        <is>
          <t>Fyll inn tall i gule celler. Grå = utregnet. Grønn = kommentarer.</t>
        </is>
      </c>
    </row>
    <row r="3">
      <c r="A3" s="2" t="inlineStr">
        <is>
          <t>Se «Samtale 3 – Transkript» for samtalen og referansenotatet.</t>
        </is>
      </c>
    </row>
    <row r="5" ht="50" customHeight="1">
      <c r="A5" s="11" t="inlineStr">
        <is>
          <t>Strategi</t>
        </is>
      </c>
      <c r="B5" s="11" t="inlineStr">
        <is>
          <t>Sammendrag (utdrag)</t>
        </is>
      </c>
      <c r="C5" s="11" t="inlineStr">
        <is>
          <t>Forankring
(citation)
1-5</t>
        </is>
      </c>
      <c r="D5" s="11" t="inlineStr">
        <is>
          <t>Nøyaktighet
(accurate)
1-5</t>
        </is>
      </c>
      <c r="E5" s="11" t="inlineStr">
        <is>
          <t>Grundighet
(thorough)
1-5</t>
        </is>
      </c>
      <c r="F5" s="11" t="inlineStr">
        <is>
          <t>Nytteverdi
(useful)
1-5</t>
        </is>
      </c>
      <c r="G5" s="11" t="inlineStr">
        <is>
          <t>Organisert
(organized)
1-5</t>
        </is>
      </c>
      <c r="H5" s="11" t="inlineStr">
        <is>
          <t>Forståelig
(comprehensible)
1-5</t>
        </is>
      </c>
      <c r="I5" s="11" t="inlineStr">
        <is>
          <t>Kortfattet
(succinct)
1-5</t>
        </is>
      </c>
      <c r="J5" s="11" t="inlineStr">
        <is>
          <t>Syntese nødvendig?
(abstraction)
0/1</t>
        </is>
      </c>
      <c r="K5" s="11" t="inlineStr">
        <is>
          <t>Synteseutførelse
(synthesized)
1-5/blank</t>
        </is>
      </c>
      <c r="L5" s="11" t="inlineStr">
        <is>
          <t>Stigma i sammendrag
(voice_summ)
0/1</t>
        </is>
      </c>
      <c r="M5" s="11" t="inlineStr">
        <is>
          <t>Stigma i transkript
(voice_note)
0/1</t>
        </is>
      </c>
      <c r="N5" s="11" t="inlineStr">
        <is>
          <t>Primary score
(snitt)</t>
        </is>
      </c>
      <c r="O5" s="11" t="inlineStr">
        <is>
          <t>Kommentar</t>
        </is>
      </c>
    </row>
    <row r="6" ht="210" customHeight="1">
      <c r="A6" s="12" t="inlineStr">
        <is>
          <t>01_zero_shot_minimal_baseline</t>
        </is>
      </c>
      <c r="B6" s="13" t="inlineStr">
        <is>
          <t>**S - Subjektive opplysninger**  
Pasienten oppgir ikke-tilhelende sår på høyre fot gjennom ca. 2 måneder. Såret har nylig blitt rødt og væskende. Mulig oppstått etter å ha gått barbeint på stranden. Oppgir periodevis dunkende følelse, men ingen tydelig smerte. Har diabetes, tar medisiner, men kontrollerer ikke blodsukker regelmessig og er usikker på hvordan. Oppgir siste HbA1c til rundt 10. Har tidligere fått antibiotika forskrevet av fastlege, men har ikke hentet dem ut.
**O - Objektive opplysninger**  
Vitalia normale, afebril. Undersøkelse av høyre fot viser ca. 1 x 2 tommer sirkulært sår dorsolateralt på høyre fot, proksimalt for 5. MTP-ledd. Rødme, sekresjon og ødem rundt såret. Ingen nekrose, ingen lukt og ingen synlig beneksponering. Pasienten oppgir trykkfølelse ved berøring, men…</t>
        </is>
      </c>
      <c r="C6" s="14" t="n"/>
      <c r="D6" s="14" t="n"/>
      <c r="E6" s="14" t="n"/>
      <c r="F6" s="14" t="n"/>
      <c r="G6" s="14" t="n"/>
      <c r="H6" s="14" t="n"/>
      <c r="I6" s="14" t="n"/>
      <c r="J6" s="14" t="n"/>
      <c r="K6" s="14" t="n"/>
      <c r="L6" s="14" t="n"/>
      <c r="M6" s="14" t="n"/>
      <c r="N6" s="15">
        <f>IF(COUNT(C6:I6)&lt;7,"",IF(J6=1,IF(ISNUMBER(K6),ROUND((SUM(C6:I6)+K6)/8,4),"venter på synthesized"),ROUND(AVERAGE(C6:I6),4)))</f>
        <v/>
      </c>
      <c r="O6" s="16" t="n"/>
    </row>
    <row r="7" ht="210" customHeight="1">
      <c r="A7" s="12" t="inlineStr">
        <is>
          <t>02_zero_shot_structured_instruction</t>
        </is>
      </c>
      <c r="B7" s="13" t="inlineStr">
        <is>
          <t>S - Subjektive opplysninger:
- Kontaktårsak: Ikke-tilhelende sår på høyre fot.
- Pasienten opplyser at såret har vært til stede i ca. 2 måneder. Nylig blitt rødt og begynt å væske/drenere. Opplever tidvis dunking/trykksensasjon, men ikke tydelig smerte.
- Mulig utløsende årsak oppgis å være at pasienten gikk barbeint på stranden.
- Har diabetes. Opplyser at han tar medisiner, men ikke kontrollerer blodsukker regelmessig og er usikker på hvordan. Oppgir at siste HbA1c var rundt 10.
- Har tidligere vært hos fastlege som startet antibiotika, men pasienten har ikke hentet medisinen på apoteket. Husker ikke preparatnavn.
- Benekter feber.
O - Objektive opplysninger:
- Vitalia omtales som normale, og pasienten er afebril.
- Fotundersøkelse: Ca. 1 x 2 tommer sirkulært sår på dorsolaterale høyre …</t>
        </is>
      </c>
      <c r="C7" s="14" t="n"/>
      <c r="D7" s="14" t="n"/>
      <c r="E7" s="14" t="n"/>
      <c r="F7" s="14" t="n"/>
      <c r="G7" s="14" t="n"/>
      <c r="H7" s="14" t="n"/>
      <c r="I7" s="14" t="n"/>
      <c r="J7" s="14" t="n"/>
      <c r="K7" s="14" t="n"/>
      <c r="L7" s="14" t="n"/>
      <c r="M7" s="14" t="n"/>
      <c r="N7" s="15">
        <f>IF(COUNT(C7:I7)&lt;7,"",IF(J7=1,IF(ISNUMBER(K7),ROUND((SUM(C7:I7)+K7)/8,4),"venter på synthesized"),ROUND(AVERAGE(C7:I7),4)))</f>
        <v/>
      </c>
      <c r="O7" s="16" t="n"/>
    </row>
    <row r="8" ht="210" customHeight="1">
      <c r="A8" s="12" t="inlineStr">
        <is>
          <t>03_one_shot</t>
        </is>
      </c>
      <c r="B8" s="13" t="inlineStr">
        <is>
          <t>S - Subjektive opplysninger:
- Kontaktårsak er ikke-tilhelende sår på høyre fot. Pasienten oppgir varighet ca. 2 måneder.
- Såret har nylig blitt rødt og begynt å drenere. Oppgir tidvis dunkende følelse, men ingen tydelig smerte; kjenner økt trykk ved berøring.
- Tror såret kan ha oppstått etter å ha gått barbeint på stranden.
- Har vært hos fastlege tidligere og fått antibiotika forskrevet, men har ikke hentet medisinen på apoteket. Husker ikke preparatnavn.
- Har diabetes, tar medisiner, men sjekker ikke blodsukker regelmessig og er usikker på hvordan. Oppgir at siste HbA1c var rundt 10.
O - Objektive opplysninger:
- Legen opplyser at vitale tegn er normale og at pasienten ikke har feber.
- Fotundersøkelse: ca. 1 x 2 tommer sirkulært sår på dorsolaterale høyre fot, proksimalt for 5. MTP…</t>
        </is>
      </c>
      <c r="C8" s="14" t="n"/>
      <c r="D8" s="14" t="n"/>
      <c r="E8" s="14" t="n"/>
      <c r="F8" s="14" t="n"/>
      <c r="G8" s="14" t="n"/>
      <c r="H8" s="14" t="n"/>
      <c r="I8" s="14" t="n"/>
      <c r="J8" s="14" t="n"/>
      <c r="K8" s="14" t="n"/>
      <c r="L8" s="14" t="n"/>
      <c r="M8" s="14" t="n"/>
      <c r="N8" s="15">
        <f>IF(COUNT(C8:I8)&lt;7,"",IF(J8=1,IF(ISNUMBER(K8),ROUND((SUM(C8:I8)+K8)/8,4),"venter på synthesized"),ROUND(AVERAGE(C8:I8),4)))</f>
        <v/>
      </c>
      <c r="O8" s="16" t="n"/>
    </row>
    <row r="9" ht="210" customHeight="1">
      <c r="A9" s="12" t="inlineStr">
        <is>
          <t>04_two_shot</t>
        </is>
      </c>
      <c r="B9" s="13" t="inlineStr">
        <is>
          <t>S - Subjektive opplysninger:
- Oppsøker for ikke-tilhelende sår på høyre fot, til stede i ca. 2 måneder.
- Pasienten tror såret kan ha oppstått etter å ha gått barbeint på stranden.
- Oppgir at såret nylig har blitt rødt og begynt å drenere. Beskriver tidvis dunkende følelse, men ingen tydelig smerte.
- Har tidligere vært hos fastlege, som startet antibiotika, men pasienten har ikke hentet medisinen på apoteket. Husker ikke preparatnavn.
- Kjent diabetes. Oppgir at han tar medisiner, men ikke sjekker blodsukker regelmessig og er usikker på hvordan. Oppgir at siste HbA1c var rundt 10.
O - Objektive opplysninger:
- Vitalia oppgis som normale, og pasienten har ikke feber.
- Fotstatus: ca. 1 x 2 tommer sirkulært sår dorsolateralt på høyre fot, proksimalt for 5. MTP-ledd. Rødhet, drenasje og ø…</t>
        </is>
      </c>
      <c r="C9" s="14" t="n"/>
      <c r="D9" s="14" t="n"/>
      <c r="E9" s="14" t="n"/>
      <c r="F9" s="14" t="n"/>
      <c r="G9" s="14" t="n"/>
      <c r="H9" s="14" t="n"/>
      <c r="I9" s="14" t="n"/>
      <c r="J9" s="14" t="n"/>
      <c r="K9" s="14" t="n"/>
      <c r="L9" s="14" t="n"/>
      <c r="M9" s="14" t="n"/>
      <c r="N9" s="15">
        <f>IF(COUNT(C9:I9)&lt;7,"",IF(J9=1,IF(ISNUMBER(K9),ROUND((SUM(C9:I9)+K9)/8,4),"venter på synthesized"),ROUND(AVERAGE(C9:I9),4)))</f>
        <v/>
      </c>
      <c r="O9" s="16" t="n"/>
    </row>
    <row r="10" ht="210" customHeight="1">
      <c r="A10" s="12" t="inlineStr">
        <is>
          <t>05_two_shot_decomposition</t>
        </is>
      </c>
      <c r="B10" s="13" t="inlineStr">
        <is>
          <t>S - Subjektive opplysninger:
- Oppsøker for ikke-tilhelende sår på høyre fot, til stede i ca. 2 måneder. Har nylig blitt rødt og væskende/drenerende, noe som bekymrer pasienten.
- Pasienten tror såret kan ha oppstått etter å ha gått barbeint på stranden.
- Oppgir tidvis dunkende følelse, men ikke tydelig smerte; ved berøring beskrives økt trykkfølelse heller enn distinkt smerte.
- Tidligere vurdert hos fastlege, som forskrev antibiotika, men pasienten har ikke hentet disse på apoteket. Husker ikke preparatnavn.
- Kjent diabetes. Oppgir at han tar medisiner, men ikke sjekker blodsukker regelmessig og er usikker på hvordan. Oppgir at siste HbA1c var rundt 10.
O - Objektive opplysninger:
- Vitalia oppgis som normale, og pasienten har ikke feber.
- Fotstatus: ca. 1 x 2 tommer sirkulært sår do…</t>
        </is>
      </c>
      <c r="C10" s="14" t="n"/>
      <c r="D10" s="14" t="n"/>
      <c r="E10" s="14" t="n"/>
      <c r="F10" s="14" t="n"/>
      <c r="G10" s="14" t="n"/>
      <c r="H10" s="14" t="n"/>
      <c r="I10" s="14" t="n"/>
      <c r="J10" s="14" t="n"/>
      <c r="K10" s="14" t="n"/>
      <c r="L10" s="14" t="n"/>
      <c r="M10" s="14" t="n"/>
      <c r="N10" s="15">
        <f>IF(COUNT(C10:I10)&lt;7,"",IF(J10=1,IF(ISNUMBER(K10),ROUND((SUM(C10:I10)+K10)/8,4),"venter på synthesized"),ROUND(AVERAGE(C10:I10),4)))</f>
        <v/>
      </c>
      <c r="O10" s="16" t="n"/>
    </row>
    <row r="11" ht="210" customHeight="1">
      <c r="A11" s="12" t="inlineStr">
        <is>
          <t>06_two_shot_self_criticism</t>
        </is>
      </c>
      <c r="B11" s="13" t="inlineStr">
        <is>
          <t>S - Subjektive opplysninger:
- Kontaktårsak er ikke-tilhelende sår på høyre fot. Pasienten oppgir varighet ca. 2 måneder.
- Opplyser at såret nylig har blitt rødt og væskende/drenerende. Beskriver tidvis dunking/”throbbing”, men ikke tydelig smerte.
- Tror såret kan ha oppstått etter å ha gått barbeint på stranden.
- Har vært hos fastlege tidligere og fått antibiotika forskrevet, men har ikke hentet medisinen på apoteket. Husker ikke preparatnavn.
- Kjent diabetes. Oppgir at han tar medisiner, men ikke sjekker blodsukker regelmessig og er usikker på hvordan. Oppgir at siste HbA1c var rundt 10.
O - Objektive opplysninger:
- Vitalia oppgis som normale, og pasienten har ikke feber.
- Fotstatus: ca. 1 x 2 tommer sirkulært sår dorsolateralt på høyre fot, proksimalt for 5. MTP-ledd. Rødhet, dre…</t>
        </is>
      </c>
      <c r="C11" s="14" t="n"/>
      <c r="D11" s="14" t="n"/>
      <c r="E11" s="14" t="n"/>
      <c r="F11" s="14" t="n"/>
      <c r="G11" s="14" t="n"/>
      <c r="H11" s="14" t="n"/>
      <c r="I11" s="14" t="n"/>
      <c r="J11" s="14" t="n"/>
      <c r="K11" s="14" t="n"/>
      <c r="L11" s="14" t="n"/>
      <c r="M11" s="14" t="n"/>
      <c r="N11" s="15">
        <f>IF(COUNT(C11:I11)&lt;7,"",IF(J11=1,IF(ISNUMBER(K11),ROUND((SUM(C11:I11)+K11)/8,4),"venter på synthesized"),ROUND(AVERAGE(C11:I11),4)))</f>
        <v/>
      </c>
      <c r="O11" s="16" t="n"/>
    </row>
    <row r="12" ht="210" customHeight="1">
      <c r="A12" s="12" t="inlineStr">
        <is>
          <t>07_two_shot_decomposition_self_criticism</t>
        </is>
      </c>
      <c r="B12" s="13" t="inlineStr">
        <is>
          <t>S - Subjektive opplysninger:
- Kontaktårsak er ikke-tilhelende sår på høyre fot gjennom ca. 2 måneder. Pasienten oppgir at såret nylig har blitt rødt og væskende/drenerende.
- Tror såret kan ha oppstått etter å ha gått barbeint på stranden.
- Oppgir tidvis dunkende/throbbende følelse, men ingen tydelig smerte; kjenner mer trykk enn distinkt smerte.
- Tidligere vurdert hos fastlege, som startet antibiotika, men pasienten har ikke hentet medisinen og husker ikke navn.
- Kjent diabetes. Oppgir at han tar medisiner, men ikke sjekker blodsukker regelmessig og er usikker på hvordan. Oppgir at siste HbA1c var rundt 10.
O - Objektive opplysninger:
- Vitalia omtalt som normale, og pasienten har ikke feber.
- Fotstatus: ca. 1 x 2 tommer sirkulært sår dorsolateralt på høyre fot, proksimalt for 5. MT…</t>
        </is>
      </c>
      <c r="C12" s="14" t="n"/>
      <c r="D12" s="14" t="n"/>
      <c r="E12" s="14" t="n"/>
      <c r="F12" s="14" t="n"/>
      <c r="G12" s="14" t="n"/>
      <c r="H12" s="14" t="n"/>
      <c r="I12" s="14" t="n"/>
      <c r="J12" s="14" t="n"/>
      <c r="K12" s="14" t="n"/>
      <c r="L12" s="14" t="n"/>
      <c r="M12" s="14" t="n"/>
      <c r="N12" s="15">
        <f>IF(COUNT(C12:I12)&lt;7,"",IF(J12=1,IF(ISNUMBER(K12),ROUND((SUM(C12:I12)+K12)/8,4),"venter på synthesized"),ROUND(AVERAGE(C12:I12),4)))</f>
        <v/>
      </c>
      <c r="O12" s="16" t="n"/>
    </row>
    <row r="13" ht="210" customHeight="1">
      <c r="A13" s="12" t="inlineStr">
        <is>
          <t>08_two_shot_decomposition_self_criticism_ensemble</t>
        </is>
      </c>
      <c r="B13" s="13" t="inlineStr">
        <is>
          <t>S - Subjektive opplysninger:
- Pasienten oppsøker for ikke-tilhelende sår på høyre fot, til stede i ca. 2 måneder. Oppgir at såret nylig har blitt rødt og begynt å drenere.
- Tror såret kan ha oppstått etter å ha gått barbeint på stranden.
- Oppgir tidvis dunkende følelse/trykksensasjon, men ikke tydelig smerte ved berøring.
- Har vært hos fastlege tidligere og fått antibiotika forskrevet, men har ikke hentet medisinen; husker ikke preparatnavn.
- Kjent diabetes. Oppgir at han tar medisiner, men ikke kontrollerer blodsukker regelmessig og er usikker på hvordan. Oppgir at siste HbA1c var rundt 10.
O - Objektive opplysninger:
- Vitalia oppgis som normale, og pasienten er afebril.
- Fotstatus: ca. 1 x 2 tommer sirkulært sår dorsolateralt på høyre fot, proksimalt for 5. MTP-ledd. Rødhet, dren…</t>
        </is>
      </c>
      <c r="C13" s="14" t="n"/>
      <c r="D13" s="14" t="n"/>
      <c r="E13" s="14" t="n"/>
      <c r="F13" s="14" t="n"/>
      <c r="G13" s="14" t="n"/>
      <c r="H13" s="14" t="n"/>
      <c r="I13" s="14" t="n"/>
      <c r="J13" s="14" t="n"/>
      <c r="K13" s="14" t="n"/>
      <c r="L13" s="14" t="n"/>
      <c r="M13" s="14" t="n"/>
      <c r="N13" s="15">
        <f>IF(COUNT(C13:I13)&lt;7,"",IF(J13=1,IF(ISNUMBER(K13),ROUND((SUM(C13:I13)+K13)/8,4),"venter på synthesized"),ROUND(AVERAGE(C13:I13),4)))</f>
        <v/>
      </c>
      <c r="O13" s="16" t="n"/>
    </row>
  </sheetData>
  <mergeCells count="3">
    <mergeCell ref="A1:O1"/>
    <mergeCell ref="A3:O3"/>
    <mergeCell ref="A2:O2"/>
  </mergeCells>
  <conditionalFormatting sqref="C6:C13">
    <cfRule type="expression" priority="1" dxfId="0">
      <formula>ISBLANK(C6)</formula>
    </cfRule>
  </conditionalFormatting>
  <conditionalFormatting sqref="D6:D13">
    <cfRule type="expression" priority="2" dxfId="0">
      <formula>ISBLANK(D6)</formula>
    </cfRule>
  </conditionalFormatting>
  <conditionalFormatting sqref="E6:E13">
    <cfRule type="expression" priority="3" dxfId="0">
      <formula>ISBLANK(E6)</formula>
    </cfRule>
  </conditionalFormatting>
  <conditionalFormatting sqref="F6:F13">
    <cfRule type="expression" priority="4" dxfId="0">
      <formula>ISBLANK(F6)</formula>
    </cfRule>
  </conditionalFormatting>
  <conditionalFormatting sqref="G6:G13">
    <cfRule type="expression" priority="5" dxfId="0">
      <formula>ISBLANK(G6)</formula>
    </cfRule>
  </conditionalFormatting>
  <conditionalFormatting sqref="H6:H13">
    <cfRule type="expression" priority="6" dxfId="0">
      <formula>ISBLANK(H6)</formula>
    </cfRule>
  </conditionalFormatting>
  <conditionalFormatting sqref="I6:I13">
    <cfRule type="expression" priority="7" dxfId="0">
      <formula>ISBLANK(I6)</formula>
    </cfRule>
  </conditionalFormatting>
  <conditionalFormatting sqref="J6:J13">
    <cfRule type="expression" priority="8" dxfId="0">
      <formula>ISBLANK(J6)</formula>
    </cfRule>
  </conditionalFormatting>
  <conditionalFormatting sqref="L6:L13">
    <cfRule type="expression" priority="9" dxfId="0">
      <formula>ISBLANK(L6)</formula>
    </cfRule>
  </conditionalFormatting>
  <conditionalFormatting sqref="M6:M13">
    <cfRule type="expression" priority="10" dxfId="0">
      <formula>ISBLANK(M6)</formula>
    </cfRule>
  </conditionalFormatting>
  <dataValidations count="3">
    <dataValidation sqref="C6 C7 C8 C9 C10 C11 C12 C13 D6 D7 D8 D9 D10 D11 D12 D13 E6 E7 E8 E9 E10 E11 E12 E13 F6 F7 F8 F9 F10 F11 F12 F13 G6 G7 G8 G9 G10 G11 G12 G13 H6 H7 H8 H9 H10 H11 H12 H13 I6 I7 I8 I9 I10 I11 I12 I13" showDropDown="0" showInputMessage="0" showErrorMessage="0" allowBlank="0" errorTitle="Ugyldig" error="Skriv et heltall mellom 1 og 5." type="whole" operator="between">
      <formula1>1</formula1>
      <formula2>5</formula2>
    </dataValidation>
    <dataValidation sqref="J6 J7 J8 J9 J10 J11 J12 J13 L6 L7 L8 L9 L10 L11 L12 L13 M6 M7 M8 M9 M10 M11 M12 M13" showDropDown="0" showInputMessage="0" showErrorMessage="0" allowBlank="0" errorTitle="Ugyldig" error="Skriv 0 eller 1." type="whole" operator="between">
      <formula1>0</formula1>
      <formula2>1</formula2>
    </dataValidation>
    <dataValidation sqref="K6 K7 K8 K9 K10 K11 K12 K13" showDropDown="0" showInputMessage="0" showErrorMessage="0" allowBlank="1" errorTitle="Ugyldig" error="Skriv et heltall 1-5, eller la cellen stå tom." type="whole" operator="between">
      <formula1>1</formula1>
      <formula2>5</formula2>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B1:C110"/>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4" customWidth="1" min="1" max="1"/>
    <col width="24" customWidth="1" min="2" max="2"/>
    <col width="110" customWidth="1" min="3" max="3"/>
  </cols>
  <sheetData>
    <row r="1">
      <c r="B1" s="8" t="inlineStr">
        <is>
          <t>Samtale 4: 3-aci</t>
        </is>
      </c>
    </row>
    <row r="2">
      <c r="B2" s="2" t="inlineStr">
        <is>
          <t>Gå til scoring-fanen «Samtale 4 – Scoring» når du har lest gjennom.</t>
        </is>
      </c>
    </row>
    <row r="4">
      <c r="B4" s="9" t="inlineStr">
        <is>
          <t>TRANSKRIPT (kildesamtale)</t>
        </is>
      </c>
    </row>
    <row r="5" ht="15" customHeight="1">
      <c r="C5" s="4" t="inlineStr">
        <is>
          <t>[doctor] hi michelle what's been going on the medical assistant told me that you injured your knee</t>
        </is>
      </c>
    </row>
    <row r="6" ht="45" customHeight="1">
      <c r="C6" s="4" t="inlineStr">
        <is>
          <t>[patient] yeah i'm gon na have to keep this my favorite story is that i had a sandra who injured her knee cold dancing so that would immediately came up to mine but let's try skiing so i was skiing in vermont last weekend and i caught my ski when i was coming off the lift and i fell and my knee popped and it's hurt ever since</t>
        </is>
      </c>
    </row>
    <row r="7" ht="15" customHeight="1">
      <c r="C7" s="4" t="inlineStr">
        <is>
          <t>[doctor] okay and were you able to ski down the hill or did you have to be taken down by the ski patrol</t>
        </is>
      </c>
    </row>
    <row r="8" ht="15" customHeight="1">
      <c r="C8" s="4" t="inlineStr">
        <is>
          <t>[patient] i had to be taken down by the ski patrol i was unable to bear weight</t>
        </is>
      </c>
    </row>
    <row r="9" ht="45" customHeight="1">
      <c r="C9" s="4" t="inlineStr">
        <is>
          <t>[doctor] okay is n't that slightly terrifying they had to do the same thing for me and you're just kind of sitting there watching all of the trees go by so anyway so what part of your knee is bothering you the most is it the inside the outside</t>
        </is>
      </c>
    </row>
    <row r="10" ht="15" customHeight="1">
      <c r="C10" s="4" t="inlineStr">
        <is>
          <t>[patient] it hurts on the outside but it also feels like it wo n't hold my weight</t>
        </is>
      </c>
    </row>
    <row r="11" ht="15" customHeight="1">
      <c r="C11" s="4" t="inlineStr">
        <is>
          <t>[doctor] okay so it feels like it's gon na buckle</t>
        </is>
      </c>
    </row>
    <row r="12" ht="15" customHeight="1">
      <c r="C12" s="4" t="inlineStr">
        <is>
          <t>[patient] hmmm yes</t>
        </is>
      </c>
    </row>
    <row r="13" ht="15" customHeight="1">
      <c r="C13" s="4" t="inlineStr">
        <is>
          <t>[doctor] okay alright and are you able to bend it</t>
        </is>
      </c>
    </row>
    <row r="14" ht="15" customHeight="1">
      <c r="C14" s="4" t="inlineStr">
        <is>
          <t>[patient] i was immediately after the injury but not really now</t>
        </is>
      </c>
    </row>
    <row r="15" ht="15" customHeight="1">
      <c r="C15" s="4" t="inlineStr">
        <is>
          <t>[doctor] okay and how about straightening it are you able to straighten it at all</t>
        </is>
      </c>
    </row>
    <row r="16" ht="15" customHeight="1">
      <c r="C16" s="4" t="inlineStr">
        <is>
          <t>[patient] somewhat but it really hurts when i try to straighten all the way</t>
        </is>
      </c>
    </row>
    <row r="17" ht="15" customHeight="1">
      <c r="C17" s="4" t="inlineStr">
        <is>
          <t>[doctor] okay alright now do you have any numbing or tingling in your toes</t>
        </is>
      </c>
    </row>
    <row r="18" ht="15" customHeight="1">
      <c r="C18" s="4" t="inlineStr">
        <is>
          <t>[patient] no</t>
        </is>
      </c>
    </row>
    <row r="19" ht="15" customHeight="1">
      <c r="C19" s="4" t="inlineStr">
        <is>
          <t>[doctor] okay and can you feel your toes okay</t>
        </is>
      </c>
    </row>
    <row r="20" ht="15" customHeight="1">
      <c r="C20" s="4" t="inlineStr">
        <is>
          <t>[patient] i think so</t>
        </is>
      </c>
    </row>
    <row r="21" ht="30" customHeight="1">
      <c r="C21" s="4" t="inlineStr">
        <is>
          <t>[doctor] okay alright now are you a pretty active person you said you were skiing do you do what kind of other activities do you do</t>
        </is>
      </c>
    </row>
    <row r="22" ht="15" customHeight="1">
      <c r="C22" s="4" t="inlineStr">
        <is>
          <t>[patient] i chase my two four -year-old</t>
        </is>
      </c>
    </row>
    <row r="23" ht="15" customHeight="1">
      <c r="C23" s="4" t="inlineStr">
        <is>
          <t>[doctor] okay do you have twins</t>
        </is>
      </c>
    </row>
    <row r="24" ht="15" customHeight="1">
      <c r="C24" s="4" t="inlineStr">
        <is>
          <t>[patient] i do</t>
        </is>
      </c>
    </row>
    <row r="25" ht="15" customHeight="1">
      <c r="C25" s="4" t="inlineStr">
        <is>
          <t>[doctor] nice that's great</t>
        </is>
      </c>
    </row>
    <row r="26" ht="15" customHeight="1">
      <c r="C26" s="4" t="inlineStr">
        <is>
          <t>[patient] yeah</t>
        </is>
      </c>
    </row>
    <row r="27" ht="30" customHeight="1">
      <c r="C27" s="4" t="inlineStr">
        <is>
          <t>[doctor] so okay and what's your support like at home who is who is able to help out are you still doing that kind of hobbling around on crutches or</t>
        </is>
      </c>
    </row>
    <row r="28" ht="30" customHeight="1">
      <c r="C28" s="4" t="inlineStr">
        <is>
          <t>[patient] yeah now my husband is home with me but he also works a job where he is gone quite a bit so it's just me and the kids</t>
        </is>
      </c>
    </row>
    <row r="29" ht="30" customHeight="1">
      <c r="C29" s="4" t="inlineStr">
        <is>
          <t>[doctor] okay alright and did the ski patrol give you crutches i i see you have them here with you okay alright great and are you otherwise generally healthy</t>
        </is>
      </c>
    </row>
    <row r="30" ht="15" customHeight="1">
      <c r="C30" s="4" t="inlineStr">
        <is>
          <t>[patient] yes</t>
        </is>
      </c>
    </row>
    <row r="31" ht="15" customHeight="1">
      <c r="C31" s="4" t="inlineStr">
        <is>
          <t>[doctor] okay and no high blood pressure diabetes anything like that</t>
        </is>
      </c>
    </row>
    <row r="32" ht="15" customHeight="1">
      <c r="C32" s="4" t="inlineStr">
        <is>
          <t>[patient] mm-hmm</t>
        </is>
      </c>
    </row>
    <row r="33" ht="60" customHeight="1">
      <c r="C33" s="4" t="inlineStr">
        <is>
          <t>[doctor] no okay alright and well i i wan na go ahead let me just do a quick physical exam i'm gon na be calling out some of my exam findings and i'll let you know what that means when i'm done okay alright so on your heart exam your heart sounds in a nice regular rate and rhythm i do n't appreciate any murmur on your lung exam your lungs are nice and clear to auscultation and remind me what knee did you injure again</t>
        </is>
      </c>
    </row>
    <row r="34" ht="15" customHeight="1">
      <c r="C34" s="4" t="inlineStr">
        <is>
          <t>[patient] my right knee</t>
        </is>
      </c>
    </row>
    <row r="35" ht="30" customHeight="1">
      <c r="C35" s="4" t="inlineStr">
        <is>
          <t>[doctor] your right knee okay so on your right knee examination i do appreciate some edema and an effusion over the right knee does it hurt when i press</t>
        </is>
      </c>
    </row>
    <row r="36" ht="15" customHeight="1">
      <c r="C36" s="4" t="inlineStr">
        <is>
          <t>[patient] yes</t>
        </is>
      </c>
    </row>
    <row r="37" ht="120" customHeight="1">
      <c r="C37" s="4" t="inlineStr">
        <is>
          <t>[doctor] okay there is pain to palpation of the right lateral knee there is decreased flexion and extension there is a positive lachman sign there is a palpable palpable dorsalis pedis and posterior tibial pulse there is no leg edema in the ankle okay well let's just talk a little bit about you know my assessment and you know my plan for you so you know i know that you had the x-ray done of your of your right knee that did n't show any bony abnormality but i i'm concerned that you have ruptured your your acl or your anterior cruciate ligament that's like a major ligament that helps connect and helps your knee move back and forth so i wan na go ahead and order a knee mri just so that we can get a a a good look and just you know confirm that physical exam okay now some people can have a normal physical exam and their acl can still be torn but you do have a lot of pain on the lateral aspect of your knee so i wan na make sure if there make sure that there is not any other structures that have been damaged by this accident okay i wan na go ahead and you know are you what are you taking for the pain</t>
        </is>
      </c>
    </row>
    <row r="38" ht="15" customHeight="1">
      <c r="C38" s="4" t="inlineStr">
        <is>
          <t>[patient] ibuprofen</t>
        </is>
      </c>
    </row>
    <row r="39" ht="15" customHeight="1">
      <c r="C39" s="4" t="inlineStr">
        <is>
          <t>[doctor] is that helping</t>
        </is>
      </c>
    </row>
    <row r="40" ht="15" customHeight="1">
      <c r="C40" s="4" t="inlineStr">
        <is>
          <t>[patient] somewhat yes</t>
        </is>
      </c>
    </row>
    <row r="41" ht="15" customHeight="1">
      <c r="C41" s="4" t="inlineStr">
        <is>
          <t>[doctor] okay alright do you want something stronger</t>
        </is>
      </c>
    </row>
    <row r="42" ht="15" customHeight="1">
      <c r="C42" s="4" t="inlineStr">
        <is>
          <t>[patient] no i'm okay</t>
        </is>
      </c>
    </row>
    <row r="43" ht="105" customHeight="1">
      <c r="C43" s="4" t="inlineStr">
        <is>
          <t>[doctor] alright so let's just continue with ibuprofen you can take you know six hundred to eight hundred milligrams every eight hours as needed i wan na go ahead and put you in a brace that's gon na help your knee feel a bit more supported okay and let's go ahead and i'm hoping that we can get this mri done in you know the next couple days and then we can have a conversation about what needs to be done now you said that you are are are you know obviously a very active active mom any other exercise or anything else that that i should be aware of that you do just wondering in terms of which kind of graft we would use to fix this with your with your acl being injured</t>
        </is>
      </c>
    </row>
    <row r="44" ht="15" customHeight="1">
      <c r="C44" s="4" t="inlineStr">
        <is>
          <t>[patient] hmmm no i not i i would like to get back to the running but currently not that active</t>
        </is>
      </c>
    </row>
    <row r="45" ht="15" customHeight="1">
      <c r="C45" s="4" t="inlineStr">
        <is>
          <t>[doctor] okay alright alright do you have any questions about anything</t>
        </is>
      </c>
    </row>
    <row r="46" ht="15" customHeight="1">
      <c r="C46" s="4" t="inlineStr">
        <is>
          <t>[patient] i think you've explained it well</t>
        </is>
      </c>
    </row>
    <row r="47" ht="15" customHeight="1">
      <c r="C47" s="4" t="inlineStr">
        <is>
          <t>[doctor] okay alright so i'll see you again soon okay</t>
        </is>
      </c>
    </row>
    <row r="48" ht="15" customHeight="1">
      <c r="C48" s="4" t="inlineStr">
        <is>
          <t>[patient] okay thank you</t>
        </is>
      </c>
    </row>
    <row r="49" ht="15" customHeight="1">
      <c r="C49" s="4" t="inlineStr">
        <is>
          <t>[doctor] alright take care bye</t>
        </is>
      </c>
    </row>
    <row r="52">
      <c r="B52" s="9" t="inlineStr">
        <is>
          <t>REFERANSENOTAT (tgt – 'gold standard')</t>
        </is>
      </c>
    </row>
    <row r="53" ht="15" customHeight="1">
      <c r="C53" s="4" t="inlineStr">
        <is>
          <t>CHIEF COMPLAINT</t>
        </is>
      </c>
    </row>
    <row r="55" ht="15" customHeight="1">
      <c r="C55" s="4" t="inlineStr">
        <is>
          <t>Right knee injury</t>
        </is>
      </c>
    </row>
    <row r="57" ht="15" customHeight="1">
      <c r="C57" s="4" t="inlineStr">
        <is>
          <t>HISTORY OF PRESENT ILLNESS</t>
        </is>
      </c>
    </row>
    <row r="59" ht="120" customHeight="1">
      <c r="C59" s="4" t="inlineStr">
        <is>
          <t>Michelle King is a pleasant 44-year-old male who presents to the clinic today for the evaluation of a right knee injury. Her injury was sustained while skiing in Vermont last weekend after she caught her ski when coming off of the lift and fell. She reports a pop in her knee at the time of injury and has been experiencing pain since that time. Due to her fall she was unable to weight bear and had to be taken down by the ski patrol. She locates her pain to the lateral aspect of her knee and also describes the feeling of instability as well as buckling. At this time she is experiencing difficulty with knee flexion; however, she states this was not a problem immediately after the injury. Full knee extension is also quite painful for her. The patient denies any numbness or tingling in her toes. She is currently utilizing crutches for ambulation which were provided to her by the ski patrol. In terms of pain control, she is taking ibuprofen which is providing some relief.</t>
        </is>
      </c>
    </row>
    <row r="61" ht="15" customHeight="1">
      <c r="C61" s="4" t="inlineStr">
        <is>
          <t>MEDICAL HISTORY</t>
        </is>
      </c>
    </row>
    <row r="63" ht="15" customHeight="1">
      <c r="C63" s="4" t="inlineStr">
        <is>
          <t>Patient reports she is otherwise healthy and denies a history of high blood pressure or diabetes.</t>
        </is>
      </c>
    </row>
    <row r="65" ht="15" customHeight="1">
      <c r="C65" s="4" t="inlineStr">
        <is>
          <t>SOCIAL HISTORY</t>
        </is>
      </c>
    </row>
    <row r="67" ht="45" customHeight="1">
      <c r="C67" s="4" t="inlineStr">
        <is>
          <t>Patient reports she is very active with skiing and taking care of her 4-year-old twins. She mentions that she would like to get back into running at some point. She states that her husband is home with her, but he also works a job where he has gone quite a bit.</t>
        </is>
      </c>
    </row>
    <row r="69" ht="15" customHeight="1">
      <c r="C69" s="4" t="inlineStr">
        <is>
          <t>MEDICATIONS</t>
        </is>
      </c>
    </row>
    <row r="71" ht="15" customHeight="1">
      <c r="C71" s="4" t="inlineStr">
        <is>
          <t>Patient reports she is taking ibuprofen.</t>
        </is>
      </c>
    </row>
    <row r="73" ht="15" customHeight="1">
      <c r="C73" s="4" t="inlineStr">
        <is>
          <t>REVIEW OF SYSTEMS</t>
        </is>
      </c>
    </row>
    <row r="75" ht="15" customHeight="1">
      <c r="C75" s="4" t="inlineStr">
        <is>
          <t>Musculoskeletal: Reports right knee pain and limited range of motion.</t>
        </is>
      </c>
    </row>
    <row r="76" ht="15" customHeight="1">
      <c r="C76" s="4" t="inlineStr">
        <is>
          <t>Neurological: Denies numbness or tingling in toes.</t>
        </is>
      </c>
    </row>
    <row r="78" ht="15" customHeight="1">
      <c r="C78" s="4" t="inlineStr">
        <is>
          <t>PHYSICAL EXAM</t>
        </is>
      </c>
    </row>
    <row r="80" ht="15" customHeight="1">
      <c r="C80" s="4" t="inlineStr">
        <is>
          <t>GAIT: The patient is ambulating with crutches.</t>
        </is>
      </c>
    </row>
    <row r="81" ht="15" customHeight="1">
      <c r="C81" s="4" t="inlineStr">
        <is>
          <t>CV: Regular rate and rhythm. No murmur.</t>
        </is>
      </c>
    </row>
    <row r="82" ht="15" customHeight="1">
      <c r="C82" s="4" t="inlineStr">
        <is>
          <t>RESPIRATORY: Lungs are clear to auscultation.</t>
        </is>
      </c>
    </row>
    <row r="83" ht="45" customHeight="1">
      <c r="C83" s="4" t="inlineStr">
        <is>
          <t>MSK: Examination of the right knee: Edema and effusion noted. Pain with palpation of the lateral knee. Decreased flexion and extension. Positive Lachman's. Palpable dorsalis pedis and posterior tibial pulse. No ankle edema.</t>
        </is>
      </c>
    </row>
    <row r="85" ht="15" customHeight="1">
      <c r="C85" s="4" t="inlineStr">
        <is>
          <t>RESULTS</t>
        </is>
      </c>
    </row>
    <row r="87" ht="15" customHeight="1">
      <c r="C87" s="4" t="inlineStr">
        <is>
          <t>4 views of the right knee were taken today. These reveal no bony abnormalities.</t>
        </is>
      </c>
    </row>
    <row r="89" ht="15" customHeight="1">
      <c r="C89" s="4" t="inlineStr">
        <is>
          <t>ASSESSMENT</t>
        </is>
      </c>
    </row>
    <row r="91" ht="15" customHeight="1">
      <c r="C91" s="4" t="inlineStr">
        <is>
          <t>Right knee pain, possible ACL tear.</t>
        </is>
      </c>
    </row>
    <row r="93" ht="15" customHeight="1">
      <c r="C93" s="4" t="inlineStr">
        <is>
          <t>PLAN</t>
        </is>
      </c>
    </row>
    <row r="95" ht="60" customHeight="1">
      <c r="C95" s="4" t="inlineStr">
        <is>
          <t>After reviewing the patient's examination and radiographic findings today, I have had a lengthy discussion with the patient in regards to her current symptoms. I have recommended that we obtain an MRI of the right knee to evaluate for a possible ACL tear. In the meantime, I have advised her to continue taking ibuprofen 600 to 800 mg every 8 hours as needed for pain. She will also be placed into a brace for increased knee support.</t>
        </is>
      </c>
    </row>
    <row r="97" ht="15" customHeight="1">
      <c r="C97" s="4" t="inlineStr">
        <is>
          <t>INSTRUCTIONS</t>
        </is>
      </c>
    </row>
    <row r="99" ht="15" customHeight="1">
      <c r="C99" s="4" t="inlineStr">
        <is>
          <t>The patient will follow up with me once the MRI results are available for review and further discussion.</t>
        </is>
      </c>
    </row>
    <row r="102">
      <c r="B102" s="9" t="inlineStr">
        <is>
          <t>GENERERTE SAMMENDRAG (per strategi)</t>
        </is>
      </c>
    </row>
    <row r="103" ht="210" customHeight="1">
      <c r="B103" s="10" t="inlineStr">
        <is>
          <t>01_zero_shot_minimal_baseline</t>
        </is>
      </c>
      <c r="C103" s="4" t="inlineStr">
        <is>
          <t>**S - Subjektive opplysninger**  
Pasienten opplyser om skade i høyre kne etter fall på ski i Vermont forrige helg, da skien hektet seg fast ved avstigning fra heis. Hun kjente et “pop” i kneet og har hatt smerter siden. Måtte fraktes ned av skipatruljen og var ikke i stand til å belaste beinet. Smerter mest lateralt i kneet, og kneet føles ustabilt som om det vil svikte. Kunne bøye kneet rett etter skaden, men ikke særlig nå. Kan delvis strekke kneet, men det gjør vondt å strekke helt ut. Ingen nummenhet eller prikking i tærne. Bruker krykker. Tar ibuprofen med noe effekt. Ønsker ikke sterkere smertestillende. Oppgir ellers å være frisk, uten hypertensjon eller diabetes.
**O - Objektive opplysninger**  
Upåfallende hjerte- og lungeauskultasjon. Undersøkelse av høyre kne viser ødem og effusjon. Palpasjonsømhet lateralt i høyre kne. Redusert fleksjon og ekstensjon. Positiv Lachman-test. Palpable dorsalis pedis- og posterior tibialis-pulser. Ingen ødem ved ankelen. Røntgen av høyre kne uten benet patologi.
**A - Vurdering**  
Høyre kneskade etter skitraume med klinisk mistanke om ruptur av fremre korsbånd (ACL). Lateral smerte gir også mistanke om mulig samtidig skade på andre strukturer i kneet.
**P - Plan**  
Bestiller MR av høyre kne snarlig for å avklare skadeomfang og bekrefte mistanke. Fortsette med ibuprofen 600–800 mg hver 8. time ved behov. Pasienten får kneortose for støtte. Videre oppfølging etter MR for gjennomgang av funn og videre behandling.</t>
        </is>
      </c>
    </row>
    <row r="104" ht="400" customHeight="1">
      <c r="B104" s="10" t="inlineStr">
        <is>
          <t>02_zero_shot_structured_instruction</t>
        </is>
      </c>
      <c r="C104" s="4" t="inlineStr">
        <is>
          <t>S - Subjektive opplysninger:
- Kontaktårsak: Høyre kneskade etter fall på ski i Vermont forrige helg.
- Pasienten opplyser at skien hektet seg da hun gikk av heisen, hun falt, og kneet «poppet». Har hatt smerter siden.
- Kunne ikke belaste beinet etter skaden og måtte fraktes ned av skipatruljen. Bruker krykker.
- Smerter mest lateralt i høyre kne. Opplever at kneet ikke holder vekt/kjennes som det vil svikte.
- Kunne bøye kneet rett etter skaden, men ikke særlig nå. Kan delvis strekke kneet, men det gjør vondt å strekke helt ut.
- Benekter nummenhet/prikking i tærne.
- Tar ibuprofen med noe effekt. Ønsker ikke sterkere smertestillende.
- Opplyser ellers å være generelt frisk, uten hypertensjon eller diabetes.
O - Objektive opplysninger:
- Cor: regelmessig rytme, ingen bilyd beskrevet.
- Pulm: lungene auskultert uten patologiske funn beskrevet.
- Høyre kne: ødem og effusjon. Palpasjonsømhet lateralt. Redusert fleksjon og ekstensjon. Positiv Lachman.
- Palpable dorsalis pedis- og posterior tibialis-pulser. Ingen ankelødem.
- Tidligere opplysning: Røntgen av høyre kne viste ingen benet abnormalitet.
A - Vurdering:
- Høyre kneskade etter skiulykke med klinisk mistanke om ruptur av fremre korsbånd (ACL).
- Lateral smerte gjør at legen også ønsker å avklare eventuell annen samtidig strukturell skade.
- Ingen benet skade på tidligere røntgen.
P - Plan:
- Bestille MR av høyre kne snarlig, forhåpentligvis i løpet av de neste dagene.
- Fortsette med ibuprofen 600–800 mg hver 8. time ved behov.
- Tilpasses kneortose/brace for støtte.
- Videre samtale/oppfølging etter MR for å avklare videre behandling.</t>
        </is>
      </c>
    </row>
    <row r="105" ht="400" customHeight="1">
      <c r="B105" s="10" t="inlineStr">
        <is>
          <t>03_one_shot</t>
        </is>
      </c>
      <c r="C105" s="4" t="inlineStr">
        <is>
          <t>S - Subjektive opplysninger:
- Kontaktårsak: høyre kneskade etter fall på ski i Vermont forrige helg. Pasienten oppgir at skien hektet seg fast ved avstigning fra heis, hun falt, kjente at kneet «poppet», og har hatt smerter siden.
- Kunne ikke belaste benet etter skaden og måtte fraktes ned av skipatruljen. Bruker krykker.
- Smerter hovedsakelig lateralt i høyre kne. Opplever også at kneet ikke vil holde vekten og kan kjennes som om det vil svikte.
- Kunne bøye kneet rett etter skaden, men ikke særlig nå. Kan delvis strekke kneet, men det gjør vondt å strekke helt ut.
- Benekter nummenhet/prikking i tærne.
- Tar ibuprofen med noe effekt. Ønsker ikke sterkere smertestillende.
- Oppgir ellers å være generelt frisk, uten hypertensjon eller diabetes.
O - Objektive opplysninger:
- Ved undersøkelse: ødem og effusjon i høyre kne.
- Palpasjonsømhet lateralt i høyre kne.
- Redusert fleksjon og ekstensjon i høyre kne.
- Positiv Lachman-test.
- Palpable dorsalis pedis- og posterior tibialis-pulser. Ingen ødem ved ankelen.
- Tidligere opplysning: røntgen av høyre kne viste ingen benet abnormalitet.
- Hjerte: regelmessig rytme, ingen bilyd. Lunger: klare ved auskultasjon.
A - Vurdering:
- Høyre kneskade etter skiulykke med manglende vektbæring, lateral smerte, hevelse/effusjon, redusert bevegelighet og positiv Lachman. Lege mistenker ruptur av ACL og ønsker også å avklare eventuell annen samtidig strukturskade på grunn av laterale smerter.
- Røntgen uten benet skade.
P - Plan:
- Bestille MR av høyre kne snarlig, forhåpentligvis i løpet av de neste dagene.
- Fortsette med ibuprofen 600–800 mg hver 8. time ved behov.
- Får kneortose for bedre støtte.
- Videre samtale/oppfølging etter MR for avklaring av videre tiltak.</t>
        </is>
      </c>
    </row>
    <row r="106" ht="360" customHeight="1">
      <c r="B106" s="10" t="inlineStr">
        <is>
          <t>04_two_shot</t>
        </is>
      </c>
      <c r="C106" s="4" t="inlineStr">
        <is>
          <t>S - Subjektive opplysninger:
- Oppsøker for høyre kneskade etter fall på ski i Vermont forrige helg. Oppgir at skien hektet seg da hun gikk av heisen, hun falt, og kneet «poppet». Har hatt smerter siden.
- Kunne ikke belaste benet etter skaden og måtte fraktes ned av skipatruljen. Bruker krykker.
- Smerter mest lateralt i kneet. Opplever også at kneet ikke holder vekten og kan kjennes som om det vil svikte/bukke.
- Kunne bøye kneet rett etter skaden, men ikke egentlig nå. Kan delvis strekke ut, men det gjør vondt å strekke helt ut.
- Benekter nummenhet/prikking i tærne. Oppgir at hun tror hun kjenner tærne normalt.
- Tar ibuprofen med noe effekt. Ønsker ikke sterkere smertestillende.
- Oppgir ellers å være generelt frisk, uten hypertensjon eller diabetes.
O - Objektive opplysninger:
- Hjerte: regelmessig frekvens og rytme, ingen bilyd beskrevet.
- Lunger: klare ved auskultasjon.
- Høyre kne: ødem og effusjon. Smerter ved palpasjon lateralt. Redusert fleksjon og ekstensjon. Positiv Lachman. Palpable dorsalis pedis- og posterior tibialis-pulser. Ingen leggødem ved ankelen.
- Tidligere opplysning: Røntgen av høyre kne viste ingen benet abnormalitet.
A - Vurdering:
- Høyre kneskade etter skiulykke med manglende belastningsevne, instabilitetsfølelse, effusjon, redusert bevegelighet og positiv Lachman. Legen vurderer dette som mistenkt ruptur av fremre korsbånd (ACL).
- På grunn av uttalte laterale smerter ønsker legen også å avklare om andre strukturer kan være skadet.
P - Plan:
- Bestille MR av høyre kne snarlig, forhåpentligvis i løpet av de neste par dagene.
- Fortsette ibuprofen 600–800 mg hver 8. time ved behov.
- Får kneortose/brace for bedre støtte.
- Videre samtale/oppfølging etter MR for å avklare videre behandling.</t>
        </is>
      </c>
    </row>
    <row r="107" ht="330" customHeight="1">
      <c r="B107" s="10" t="inlineStr">
        <is>
          <t>05_two_shot_decomposition</t>
        </is>
      </c>
      <c r="C107" s="4" t="inlineStr">
        <is>
          <t>S - Subjektive opplysninger:
- Oppsøker for høyre kneskade etter fall på ski i Vermont forrige helg. Oppgir at skien hektet seg da hun gikk av heisen, hun falt, og kneet «poppet». Har hatt smerter siden.
- Måtte fraktes ned av skipatruljen og var ikke i stand til å belaste benet etter skaden.
- Smerter mest lateralt i kneet. Opplever at kneet ikke holder vekt/gir etter. Kunne bøye kneet rett etter skaden, men ikke særlig nå. Kan delvis strekke ut, men det gjør betydelig vondt å strekke helt ut.
- Benekter nummenhet/prikking i tærne. Oppgir at hun tror hun kjenner tærne normalt.
- Bruker krykker. Tar ibuprofen med noe effekt. Ønsker ikke sterkere smertestillende.
- Oppgir ellers å være generelt frisk, uten hypertensjon eller diabetes.
O - Objektive opplysninger:
- Hjerte: regelmessig rytme, ingen bilyd auskultert.
- Lunger: klare ved auskultasjon.
- Høyre kne: ødem og effusjon. Smerter ved palpasjon lateralt. Nedsatt fleksjon og ekstensjon. Positiv Lachman. Palpable dorsalis pedis- og posterior tibialis-pulser. Ingen ankelødem.
- Tidligere opplysning: Røntgen av høyre kne viste ingen benet abnormalitet.
A - Vurdering:
- Høyre kneskade etter skiulykke med klinikk som gir mistanke om ruptur av fremre korsbånd (ACL). Lateral smerte gjør at annen samtidig strukturskade også ønskes vurdert. Ingen benet skade på omtalt røntgen.
P - Plan:
- Bestille MR av høyre kne snarlig, forhåpentligvis i løpet av de neste dagene, for å bekrefte funn og vurdere eventuell annen skade.
- Fortsette ibuprofen 600–800 mg hver 8. time ved behov.
- Får kneortose/brace for støtte.
- Videre samtale/oppfølging etter MR for avklaring av videre behandling.</t>
        </is>
      </c>
    </row>
    <row r="108" ht="345" customHeight="1">
      <c r="B108" s="10" t="inlineStr">
        <is>
          <t>06_two_shot_self_criticism</t>
        </is>
      </c>
      <c r="C108" s="4" t="inlineStr">
        <is>
          <t>S - Subjektive opplysninger:
- Oppsøker for høyre kneskade etter fall på ski i Vermont forrige helg da skien hektet seg ved avstigning fra heis. Oppgir at kneet «poppet» ved skaden og har gjort vondt siden.
- Kunne ikke belaste benet etter skaden og måtte fraktes ned av skipatruljen. Har brukt krykker siden.
- Smerter mest lateralt i kneet. Opplever at kneet ikke holder vekt/gir etter. Kunne bøye kneet rett etter skaden, men ikke særlig nå. Kan delvis strekke kneet, men det gjør vondt å strekke helt ut.
- Benekter nummenhet/prikking i tærne. Oppgir at hun tror hun kjenner tærne normalt.
- Tar ibuprofen med noe effekt. Ønsker ikke sterkere smertestillende.
- Oppgir ellers å være generelt frisk, uten hypertensjon eller diabetes.
O - Objektive opplysninger:
- Hjerte: regelmessig rytme, ingen bilyd omtalt.
- Lunger: klare ved auskultasjon.
- Høyre kne: ødem og effusjon. Smerter ved palpasjon lateralt. Redusert fleksjon og ekstensjon. Positiv Lachman. Palpable dorsalis pedis- og posterior tibialis-pulser. Ingen ankelødem.
- Tidligere opplysning fra dagens forløp: Røntgen av høyre kne viste ingen benet abnormalitet.
A - Vurdering:
- Høyre kneskade etter skiulykke med manglende belastningsevne, instabilitetsfølelse, effusjon, redusert bevegelighet og positiv Lachman. Lege vurderer dette som mistenkt ruptur av fremre korsbånd (ACL).
- På grunn av uttalte laterale smerter ønsker legen også å avklare om andre strukturer i kneet kan være skadet.
P - Plan:
- Bestille MR av høyre kne snarlig, forhåpentligvis i løpet av de neste dagene.
- Fortsette ibuprofen 600–800 mg hver 8. time ved behov.
- Får kneortose/brace for støtte.
- Videre samtale/oppfølging etter MR for avklaring av videre behandling.</t>
        </is>
      </c>
    </row>
    <row r="109" ht="330" customHeight="1">
      <c r="B109" s="10" t="inlineStr">
        <is>
          <t>07_two_shot_decomposition_self_criticism</t>
        </is>
      </c>
      <c r="C109" s="4" t="inlineStr">
        <is>
          <t>S - Subjektive opplysninger:
- Kontaktårsak: høyresidig kneskade etter fall på ski i Vermont forrige helg. Pasienten oppgir at skien hektet seg da hun gikk av heisen, hun falt, kjente at kneet «poppet», og har hatt smerter siden.
- Måtte fraktes ned av skipatruljen og var ikke i stand til å belaste benet etter skaden.
- Smerter mest lateralt i høyre kne. Opplever at kneet ikke holder vekt og kan buckle. Kunne bøye kneet rett etter skaden, men ikke egentlig nå. Kan delvis strekke, men det gjør vondt å strekke helt ut.
- Benekter nummenhet/prikking i tærne. Oppgir at hun tror hun kjenner tærne normalt.
- Bruker krykker. Tar ibuprofen med noe effekt. Ønsker ikke sterkere smertestillende.
- Oppgir ellers å være generelt frisk, uten hypertensjon eller diabetes.
O - Objektive opplysninger:
- Hjerte: regelmessig rytme, ingen bilyd omtalt.
- Lunger: klare ved auskultasjon.
- Høyre kne: ødem og effusjon. Smerter ved palpasjon lateralt. Redusert fleksjon og ekstensjon. Positiv Lachman. Palpable dorsalis pedis- og posterior tibialis-pulser. Ingen ødem i ankelen.
- Tidligere opplysning: Røntgen av høyre kne viste ingen benet abnormalitet.
A - Vurdering:
- Høyre kneskade etter skiulykke med klinikk som gir mistanke om ruptur av fremre korsbånd (ACL). Lateral smerte gjør også at annen samtidig strukturskade ønskes vurdert. Ingen benet skade på tidligere røntgen.
P - Plan:
- Bestille MR av høyre kne snarlig, forhåpentligvis i løpet av de neste dagene.
- Fortsette ibuprofen 600–800 mg hver 8. time ved behov.
- Får kneortose/brace for støtte.
- Videre samtale/kontroll etter MR for avklaring av videre tiltak.</t>
        </is>
      </c>
    </row>
    <row r="110" ht="375" customHeight="1">
      <c r="B110" s="10" t="inlineStr">
        <is>
          <t>08_two_shot_decomposition_self_criticism_ensemble</t>
        </is>
      </c>
      <c r="C110" s="4" t="inlineStr">
        <is>
          <t>S - Subjektive opplysninger:
- Kontaktårsak: høyresidig kneskade etter fall på ski i Vermont forrige helg. Pasienten oppgir at skien hektet seg fast ved avstigning fra heis, hun falt, kjente at kneet «poppet», og har hatt smerter siden.
- Måtte fraktes ned av skipatruljen og var ikke i stand til å belaste benet etter skaden.
- Smerter mest lateralt i høyre kne, samt følelse av at kneet ikke holder vekt/kan svikte.
- Kunne bøye kneet rett etter skaden, men ikke egentlig nå. Kan delvis strekke kneet, men det gjør vondt å strekke helt ut.
- Benekter nummenhet/prikking i tærne. Oppgir at hun tror hun kjenner tærne normalt.
- Bruker krykker. Tar ibuprofen med noe effekt. Ønsker ikke sterkere smertestillende.
- Oppgir ellers å være generelt frisk, uten hypertensjon eller diabetes.
O - Objektive opplysninger:
- Hjerte: regelmessig frekvens og rytme, ingen bilyd auskultert.
- Lunger: klare ved auskultasjon.
- Høyre kne: ødem og effusjon. Smerter ved palpasjon lateralt. Redusert fleksjon og ekstensjon. Positiv Lachman.
- Palpable dorsalis pedis- og posterior tibialis-pulser. Ingen ødem ved ankelen.
- Tidligere opplysning fra dagens forløp: røntgen av høyre kne viste ingen benet abnormalitet.
A - Vurdering:
- Høyre kneskade etter skiulykke med klinikk som gir mistanke om ruptur av fremre korsbånd (ACL). Lateral smerte gjør også at annen samtidig strukturskade ønskes vurdert nærmere.
- Ingen benet skade på røntgen omtalt.
P - Plan:
- Bestille MR av høyre kne snarlig, forhåpentligvis i løpet av de neste dagene, for å bekrefte funn og vurdere eventuell annen skade.
- Fortsette ibuprofen 600–800 mg hver 8. time ved behov.
- Får kneortose/brace for støtte.
- Videre samtale/oppfølging etter MR for vurdering av videre behandling.</t>
        </is>
      </c>
    </row>
  </sheetData>
  <mergeCells count="3">
    <mergeCell ref="B102:C102"/>
    <mergeCell ref="B52:C52"/>
    <mergeCell ref="B4:C4"/>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13"/>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30" customWidth="1" min="1" max="1"/>
    <col width="60" customWidth="1" min="2" max="2"/>
    <col width="12" customWidth="1" min="3" max="3"/>
    <col width="12" customWidth="1" min="4" max="4"/>
    <col width="12" customWidth="1" min="5" max="5"/>
    <col width="12" customWidth="1" min="6" max="6"/>
    <col width="12" customWidth="1" min="7" max="7"/>
    <col width="12" customWidth="1" min="8" max="8"/>
    <col width="12" customWidth="1" min="9" max="9"/>
    <col width="11" customWidth="1" min="10" max="10"/>
    <col width="12" customWidth="1" min="11" max="11"/>
    <col width="11" customWidth="1" min="12" max="12"/>
    <col width="11" customWidth="1" min="13" max="13"/>
    <col width="12" customWidth="1" min="14" max="14"/>
    <col width="50" customWidth="1" min="15" max="15"/>
  </cols>
  <sheetData>
    <row r="1">
      <c r="A1" s="8" t="inlineStr">
        <is>
          <t>Samtale 4: 3-aci – manuell scoring</t>
        </is>
      </c>
    </row>
    <row r="2">
      <c r="A2" s="2" t="inlineStr">
        <is>
          <t>Fyll inn tall i gule celler. Grå = utregnet. Grønn = kommentarer.</t>
        </is>
      </c>
    </row>
    <row r="3">
      <c r="A3" s="2" t="inlineStr">
        <is>
          <t>Se «Samtale 4 – Transkript» for samtalen og referansenotatet.</t>
        </is>
      </c>
    </row>
    <row r="5" ht="50" customHeight="1">
      <c r="A5" s="11" t="inlineStr">
        <is>
          <t>Strategi</t>
        </is>
      </c>
      <c r="B5" s="11" t="inlineStr">
        <is>
          <t>Sammendrag (utdrag)</t>
        </is>
      </c>
      <c r="C5" s="11" t="inlineStr">
        <is>
          <t>Forankring
(citation)
1-5</t>
        </is>
      </c>
      <c r="D5" s="11" t="inlineStr">
        <is>
          <t>Nøyaktighet
(accurate)
1-5</t>
        </is>
      </c>
      <c r="E5" s="11" t="inlineStr">
        <is>
          <t>Grundighet
(thorough)
1-5</t>
        </is>
      </c>
      <c r="F5" s="11" t="inlineStr">
        <is>
          <t>Nytteverdi
(useful)
1-5</t>
        </is>
      </c>
      <c r="G5" s="11" t="inlineStr">
        <is>
          <t>Organisert
(organized)
1-5</t>
        </is>
      </c>
      <c r="H5" s="11" t="inlineStr">
        <is>
          <t>Forståelig
(comprehensible)
1-5</t>
        </is>
      </c>
      <c r="I5" s="11" t="inlineStr">
        <is>
          <t>Kortfattet
(succinct)
1-5</t>
        </is>
      </c>
      <c r="J5" s="11" t="inlineStr">
        <is>
          <t>Syntese nødvendig?
(abstraction)
0/1</t>
        </is>
      </c>
      <c r="K5" s="11" t="inlineStr">
        <is>
          <t>Synteseutførelse
(synthesized)
1-5/blank</t>
        </is>
      </c>
      <c r="L5" s="11" t="inlineStr">
        <is>
          <t>Stigma i sammendrag
(voice_summ)
0/1</t>
        </is>
      </c>
      <c r="M5" s="11" t="inlineStr">
        <is>
          <t>Stigma i transkript
(voice_note)
0/1</t>
        </is>
      </c>
      <c r="N5" s="11" t="inlineStr">
        <is>
          <t>Primary score
(snitt)</t>
        </is>
      </c>
      <c r="O5" s="11" t="inlineStr">
        <is>
          <t>Kommentar</t>
        </is>
      </c>
    </row>
    <row r="6" ht="210" customHeight="1">
      <c r="A6" s="12" t="inlineStr">
        <is>
          <t>01_zero_shot_minimal_baseline</t>
        </is>
      </c>
      <c r="B6" s="13" t="inlineStr">
        <is>
          <t>**S - Subjektive opplysninger**  
Pasienten opplyser om skade i høyre kne etter fall på ski i Vermont forrige helg, da skien hektet seg fast ved avstigning fra heis. Hun kjente et “pop” i kneet og har hatt smerter siden. Måtte fraktes ned av skipatruljen og var ikke i stand til å belaste beinet. Smerter mest lateralt i kneet, og kneet føles ustabilt som om det vil svikte. Kunne bøye kneet rett etter skaden, men ikke særlig nå. Kan delvis strekke kneet, men det gjør vondt å strekke helt ut. Ingen nummenhet eller prikking i tærne. Bruker krykker. Tar ibuprofen med noe effekt. Ønsker ikke sterkere smertestillende. Oppgir ellers å være frisk, uten hypertensjon eller diabetes.
**O - Objektive opplysninger**  
Upåfallende hjerte- og lungeauskultasjon. Undersøkelse av høyre kne viser ødem og eff…</t>
        </is>
      </c>
      <c r="C6" s="14" t="n"/>
      <c r="D6" s="14" t="n"/>
      <c r="E6" s="14" t="n"/>
      <c r="F6" s="14" t="n"/>
      <c r="G6" s="14" t="n"/>
      <c r="H6" s="14" t="n"/>
      <c r="I6" s="14" t="n"/>
      <c r="J6" s="14" t="n"/>
      <c r="K6" s="14" t="n"/>
      <c r="L6" s="14" t="n"/>
      <c r="M6" s="14" t="n"/>
      <c r="N6" s="15">
        <f>IF(COUNT(C6:I6)&lt;7,"",IF(J6=1,IF(ISNUMBER(K6),ROUND((SUM(C6:I6)+K6)/8,4),"venter på synthesized"),ROUND(AVERAGE(C6:I6),4)))</f>
        <v/>
      </c>
      <c r="O6" s="16" t="n"/>
    </row>
    <row r="7" ht="210" customHeight="1">
      <c r="A7" s="12" t="inlineStr">
        <is>
          <t>02_zero_shot_structured_instruction</t>
        </is>
      </c>
      <c r="B7" s="13" t="inlineStr">
        <is>
          <t>S - Subjektive opplysninger:
- Kontaktårsak: Høyre kneskade etter fall på ski i Vermont forrige helg.
- Pasienten opplyser at skien hektet seg da hun gikk av heisen, hun falt, og kneet «poppet». Har hatt smerter siden.
- Kunne ikke belaste beinet etter skaden og måtte fraktes ned av skipatruljen. Bruker krykker.
- Smerter mest lateralt i høyre kne. Opplever at kneet ikke holder vekt/kjennes som det vil svikte.
- Kunne bøye kneet rett etter skaden, men ikke særlig nå. Kan delvis strekke kneet, men det gjør vondt å strekke helt ut.
- Benekter nummenhet/prikking i tærne.
- Tar ibuprofen med noe effekt. Ønsker ikke sterkere smertestillende.
- Opplyser ellers å være generelt frisk, uten hypertensjon eller diabetes.
O - Objektive opplysninger:
- Cor: regelmessig rytme, ingen bilyd beskrevet.
- …</t>
        </is>
      </c>
      <c r="C7" s="14" t="n"/>
      <c r="D7" s="14" t="n"/>
      <c r="E7" s="14" t="n"/>
      <c r="F7" s="14" t="n"/>
      <c r="G7" s="14" t="n"/>
      <c r="H7" s="14" t="n"/>
      <c r="I7" s="14" t="n"/>
      <c r="J7" s="14" t="n"/>
      <c r="K7" s="14" t="n"/>
      <c r="L7" s="14" t="n"/>
      <c r="M7" s="14" t="n"/>
      <c r="N7" s="15">
        <f>IF(COUNT(C7:I7)&lt;7,"",IF(J7=1,IF(ISNUMBER(K7),ROUND((SUM(C7:I7)+K7)/8,4),"venter på synthesized"),ROUND(AVERAGE(C7:I7),4)))</f>
        <v/>
      </c>
      <c r="O7" s="16" t="n"/>
    </row>
    <row r="8" ht="210" customHeight="1">
      <c r="A8" s="12" t="inlineStr">
        <is>
          <t>03_one_shot</t>
        </is>
      </c>
      <c r="B8" s="13" t="inlineStr">
        <is>
          <t>S - Subjektive opplysninger:
- Kontaktårsak: høyre kneskade etter fall på ski i Vermont forrige helg. Pasienten oppgir at skien hektet seg fast ved avstigning fra heis, hun falt, kjente at kneet «poppet», og har hatt smerter siden.
- Kunne ikke belaste benet etter skaden og måtte fraktes ned av skipatruljen. Bruker krykker.
- Smerter hovedsakelig lateralt i høyre kne. Opplever også at kneet ikke vil holde vekten og kan kjennes som om det vil svikte.
- Kunne bøye kneet rett etter skaden, men ikke særlig nå. Kan delvis strekke kneet, men det gjør vondt å strekke helt ut.
- Benekter nummenhet/prikking i tærne.
- Tar ibuprofen med noe effekt. Ønsker ikke sterkere smertestillende.
- Oppgir ellers å være generelt frisk, uten hypertensjon eller diabetes.
O - Objektive opplysninger:
- Ved undersø…</t>
        </is>
      </c>
      <c r="C8" s="14" t="n"/>
      <c r="D8" s="14" t="n"/>
      <c r="E8" s="14" t="n"/>
      <c r="F8" s="14" t="n"/>
      <c r="G8" s="14" t="n"/>
      <c r="H8" s="14" t="n"/>
      <c r="I8" s="14" t="n"/>
      <c r="J8" s="14" t="n"/>
      <c r="K8" s="14" t="n"/>
      <c r="L8" s="14" t="n"/>
      <c r="M8" s="14" t="n"/>
      <c r="N8" s="15">
        <f>IF(COUNT(C8:I8)&lt;7,"",IF(J8=1,IF(ISNUMBER(K8),ROUND((SUM(C8:I8)+K8)/8,4),"venter på synthesized"),ROUND(AVERAGE(C8:I8),4)))</f>
        <v/>
      </c>
      <c r="O8" s="16" t="n"/>
    </row>
    <row r="9" ht="210" customHeight="1">
      <c r="A9" s="12" t="inlineStr">
        <is>
          <t>04_two_shot</t>
        </is>
      </c>
      <c r="B9" s="13" t="inlineStr">
        <is>
          <t>S - Subjektive opplysninger:
- Oppsøker for høyre kneskade etter fall på ski i Vermont forrige helg. Oppgir at skien hektet seg da hun gikk av heisen, hun falt, og kneet «poppet». Har hatt smerter siden.
- Kunne ikke belaste benet etter skaden og måtte fraktes ned av skipatruljen. Bruker krykker.
- Smerter mest lateralt i kneet. Opplever også at kneet ikke holder vekten og kan kjennes som om det vil svikte/bukke.
- Kunne bøye kneet rett etter skaden, men ikke egentlig nå. Kan delvis strekke ut, men det gjør vondt å strekke helt ut.
- Benekter nummenhet/prikking i tærne. Oppgir at hun tror hun kjenner tærne normalt.
- Tar ibuprofen med noe effekt. Ønsker ikke sterkere smertestillende.
- Oppgir ellers å være generelt frisk, uten hypertensjon eller diabetes.
O - Objektive opplysninger:
- Hje…</t>
        </is>
      </c>
      <c r="C9" s="14" t="n"/>
      <c r="D9" s="14" t="n"/>
      <c r="E9" s="14" t="n"/>
      <c r="F9" s="14" t="n"/>
      <c r="G9" s="14" t="n"/>
      <c r="H9" s="14" t="n"/>
      <c r="I9" s="14" t="n"/>
      <c r="J9" s="14" t="n"/>
      <c r="K9" s="14" t="n"/>
      <c r="L9" s="14" t="n"/>
      <c r="M9" s="14" t="n"/>
      <c r="N9" s="15">
        <f>IF(COUNT(C9:I9)&lt;7,"",IF(J9=1,IF(ISNUMBER(K9),ROUND((SUM(C9:I9)+K9)/8,4),"venter på synthesized"),ROUND(AVERAGE(C9:I9),4)))</f>
        <v/>
      </c>
      <c r="O9" s="16" t="n"/>
    </row>
    <row r="10" ht="210" customHeight="1">
      <c r="A10" s="12" t="inlineStr">
        <is>
          <t>05_two_shot_decomposition</t>
        </is>
      </c>
      <c r="B10" s="13" t="inlineStr">
        <is>
          <t>S - Subjektive opplysninger:
- Oppsøker for høyre kneskade etter fall på ski i Vermont forrige helg. Oppgir at skien hektet seg da hun gikk av heisen, hun falt, og kneet «poppet». Har hatt smerter siden.
- Måtte fraktes ned av skipatruljen og var ikke i stand til å belaste benet etter skaden.
- Smerter mest lateralt i kneet. Opplever at kneet ikke holder vekt/gir etter. Kunne bøye kneet rett etter skaden, men ikke særlig nå. Kan delvis strekke ut, men det gjør betydelig vondt å strekke helt ut.
- Benekter nummenhet/prikking i tærne. Oppgir at hun tror hun kjenner tærne normalt.
- Bruker krykker. Tar ibuprofen med noe effekt. Ønsker ikke sterkere smertestillende.
- Oppgir ellers å være generelt frisk, uten hypertensjon eller diabetes.
O - Objektive opplysninger:
- Hjerte: regelmessig rytme…</t>
        </is>
      </c>
      <c r="C10" s="14" t="n"/>
      <c r="D10" s="14" t="n"/>
      <c r="E10" s="14" t="n"/>
      <c r="F10" s="14" t="n"/>
      <c r="G10" s="14" t="n"/>
      <c r="H10" s="14" t="n"/>
      <c r="I10" s="14" t="n"/>
      <c r="J10" s="14" t="n"/>
      <c r="K10" s="14" t="n"/>
      <c r="L10" s="14" t="n"/>
      <c r="M10" s="14" t="n"/>
      <c r="N10" s="15">
        <f>IF(COUNT(C10:I10)&lt;7,"",IF(J10=1,IF(ISNUMBER(K10),ROUND((SUM(C10:I10)+K10)/8,4),"venter på synthesized"),ROUND(AVERAGE(C10:I10),4)))</f>
        <v/>
      </c>
      <c r="O10" s="16" t="n"/>
    </row>
    <row r="11" ht="210" customHeight="1">
      <c r="A11" s="12" t="inlineStr">
        <is>
          <t>06_two_shot_self_criticism</t>
        </is>
      </c>
      <c r="B11" s="13" t="inlineStr">
        <is>
          <t>S - Subjektive opplysninger:
- Oppsøker for høyre kneskade etter fall på ski i Vermont forrige helg da skien hektet seg ved avstigning fra heis. Oppgir at kneet «poppet» ved skaden og har gjort vondt siden.
- Kunne ikke belaste benet etter skaden og måtte fraktes ned av skipatruljen. Har brukt krykker siden.
- Smerter mest lateralt i kneet. Opplever at kneet ikke holder vekt/gir etter. Kunne bøye kneet rett etter skaden, men ikke særlig nå. Kan delvis strekke kneet, men det gjør vondt å strekke helt ut.
- Benekter nummenhet/prikking i tærne. Oppgir at hun tror hun kjenner tærne normalt.
- Tar ibuprofen med noe effekt. Ønsker ikke sterkere smertestillende.
- Oppgir ellers å være generelt frisk, uten hypertensjon eller diabetes.
O - Objektive opplysninger:
- Hjerte: regelmessig rytme, ingen…</t>
        </is>
      </c>
      <c r="C11" s="14" t="n"/>
      <c r="D11" s="14" t="n"/>
      <c r="E11" s="14" t="n"/>
      <c r="F11" s="14" t="n"/>
      <c r="G11" s="14" t="n"/>
      <c r="H11" s="14" t="n"/>
      <c r="I11" s="14" t="n"/>
      <c r="J11" s="14" t="n"/>
      <c r="K11" s="14" t="n"/>
      <c r="L11" s="14" t="n"/>
      <c r="M11" s="14" t="n"/>
      <c r="N11" s="15">
        <f>IF(COUNT(C11:I11)&lt;7,"",IF(J11=1,IF(ISNUMBER(K11),ROUND((SUM(C11:I11)+K11)/8,4),"venter på synthesized"),ROUND(AVERAGE(C11:I11),4)))</f>
        <v/>
      </c>
      <c r="O11" s="16" t="n"/>
    </row>
    <row r="12" ht="210" customHeight="1">
      <c r="A12" s="12" t="inlineStr">
        <is>
          <t>07_two_shot_decomposition_self_criticism</t>
        </is>
      </c>
      <c r="B12" s="13" t="inlineStr">
        <is>
          <t>S - Subjektive opplysninger:
- Kontaktårsak: høyresidig kneskade etter fall på ski i Vermont forrige helg. Pasienten oppgir at skien hektet seg da hun gikk av heisen, hun falt, kjente at kneet «poppet», og har hatt smerter siden.
- Måtte fraktes ned av skipatruljen og var ikke i stand til å belaste benet etter skaden.
- Smerter mest lateralt i høyre kne. Opplever at kneet ikke holder vekt og kan buckle. Kunne bøye kneet rett etter skaden, men ikke egentlig nå. Kan delvis strekke, men det gjør vondt å strekke helt ut.
- Benekter nummenhet/prikking i tærne. Oppgir at hun tror hun kjenner tærne normalt.
- Bruker krykker. Tar ibuprofen med noe effekt. Ønsker ikke sterkere smertestillende.
- Oppgir ellers å være generelt frisk, uten hypertensjon eller diabetes.
O - Objektive opplysninger:
- Hj…</t>
        </is>
      </c>
      <c r="C12" s="14" t="n"/>
      <c r="D12" s="14" t="n"/>
      <c r="E12" s="14" t="n"/>
      <c r="F12" s="14" t="n"/>
      <c r="G12" s="14" t="n"/>
      <c r="H12" s="14" t="n"/>
      <c r="I12" s="14" t="n"/>
      <c r="J12" s="14" t="n"/>
      <c r="K12" s="14" t="n"/>
      <c r="L12" s="14" t="n"/>
      <c r="M12" s="14" t="n"/>
      <c r="N12" s="15">
        <f>IF(COUNT(C12:I12)&lt;7,"",IF(J12=1,IF(ISNUMBER(K12),ROUND((SUM(C12:I12)+K12)/8,4),"venter på synthesized"),ROUND(AVERAGE(C12:I12),4)))</f>
        <v/>
      </c>
      <c r="O12" s="16" t="n"/>
    </row>
    <row r="13" ht="210" customHeight="1">
      <c r="A13" s="12" t="inlineStr">
        <is>
          <t>08_two_shot_decomposition_self_criticism_ensemble</t>
        </is>
      </c>
      <c r="B13" s="13" t="inlineStr">
        <is>
          <t>S - Subjektive opplysninger:
- Kontaktårsak: høyresidig kneskade etter fall på ski i Vermont forrige helg. Pasienten oppgir at skien hektet seg fast ved avstigning fra heis, hun falt, kjente at kneet «poppet», og har hatt smerter siden.
- Måtte fraktes ned av skipatruljen og var ikke i stand til å belaste benet etter skaden.
- Smerter mest lateralt i høyre kne, samt følelse av at kneet ikke holder vekt/kan svikte.
- Kunne bøye kneet rett etter skaden, men ikke egentlig nå. Kan delvis strekke kneet, men det gjør vondt å strekke helt ut.
- Benekter nummenhet/prikking i tærne. Oppgir at hun tror hun kjenner tærne normalt.
- Bruker krykker. Tar ibuprofen med noe effekt. Ønsker ikke sterkere smertestillende.
- Oppgir ellers å være generelt frisk, uten hypertensjon eller diabetes.
O - Objektive…</t>
        </is>
      </c>
      <c r="C13" s="14" t="n"/>
      <c r="D13" s="14" t="n"/>
      <c r="E13" s="14" t="n"/>
      <c r="F13" s="14" t="n"/>
      <c r="G13" s="14" t="n"/>
      <c r="H13" s="14" t="n"/>
      <c r="I13" s="14" t="n"/>
      <c r="J13" s="14" t="n"/>
      <c r="K13" s="14" t="n"/>
      <c r="L13" s="14" t="n"/>
      <c r="M13" s="14" t="n"/>
      <c r="N13" s="15">
        <f>IF(COUNT(C13:I13)&lt;7,"",IF(J13=1,IF(ISNUMBER(K13),ROUND((SUM(C13:I13)+K13)/8,4),"venter på synthesized"),ROUND(AVERAGE(C13:I13),4)))</f>
        <v/>
      </c>
      <c r="O13" s="16" t="n"/>
    </row>
  </sheetData>
  <mergeCells count="3">
    <mergeCell ref="A1:O1"/>
    <mergeCell ref="A3:O3"/>
    <mergeCell ref="A2:O2"/>
  </mergeCells>
  <conditionalFormatting sqref="C6:C13">
    <cfRule type="expression" priority="1" dxfId="0">
      <formula>ISBLANK(C6)</formula>
    </cfRule>
  </conditionalFormatting>
  <conditionalFormatting sqref="D6:D13">
    <cfRule type="expression" priority="2" dxfId="0">
      <formula>ISBLANK(D6)</formula>
    </cfRule>
  </conditionalFormatting>
  <conditionalFormatting sqref="E6:E13">
    <cfRule type="expression" priority="3" dxfId="0">
      <formula>ISBLANK(E6)</formula>
    </cfRule>
  </conditionalFormatting>
  <conditionalFormatting sqref="F6:F13">
    <cfRule type="expression" priority="4" dxfId="0">
      <formula>ISBLANK(F6)</formula>
    </cfRule>
  </conditionalFormatting>
  <conditionalFormatting sqref="G6:G13">
    <cfRule type="expression" priority="5" dxfId="0">
      <formula>ISBLANK(G6)</formula>
    </cfRule>
  </conditionalFormatting>
  <conditionalFormatting sqref="H6:H13">
    <cfRule type="expression" priority="6" dxfId="0">
      <formula>ISBLANK(H6)</formula>
    </cfRule>
  </conditionalFormatting>
  <conditionalFormatting sqref="I6:I13">
    <cfRule type="expression" priority="7" dxfId="0">
      <formula>ISBLANK(I6)</formula>
    </cfRule>
  </conditionalFormatting>
  <conditionalFormatting sqref="J6:J13">
    <cfRule type="expression" priority="8" dxfId="0">
      <formula>ISBLANK(J6)</formula>
    </cfRule>
  </conditionalFormatting>
  <conditionalFormatting sqref="L6:L13">
    <cfRule type="expression" priority="9" dxfId="0">
      <formula>ISBLANK(L6)</formula>
    </cfRule>
  </conditionalFormatting>
  <conditionalFormatting sqref="M6:M13">
    <cfRule type="expression" priority="10" dxfId="0">
      <formula>ISBLANK(M6)</formula>
    </cfRule>
  </conditionalFormatting>
  <dataValidations count="3">
    <dataValidation sqref="C6 C7 C8 C9 C10 C11 C12 C13 D6 D7 D8 D9 D10 D11 D12 D13 E6 E7 E8 E9 E10 E11 E12 E13 F6 F7 F8 F9 F10 F11 F12 F13 G6 G7 G8 G9 G10 G11 G12 G13 H6 H7 H8 H9 H10 H11 H12 H13 I6 I7 I8 I9 I10 I11 I12 I13" showDropDown="0" showInputMessage="0" showErrorMessage="0" allowBlank="0" errorTitle="Ugyldig" error="Skriv et heltall mellom 1 og 5." type="whole" operator="between">
      <formula1>1</formula1>
      <formula2>5</formula2>
    </dataValidation>
    <dataValidation sqref="J6 J7 J8 J9 J10 J11 J12 J13 L6 L7 L8 L9 L10 L11 L12 L13 M6 M7 M8 M9 M10 M11 M12 M13" showDropDown="0" showInputMessage="0" showErrorMessage="0" allowBlank="0" errorTitle="Ugyldig" error="Skriv 0 eller 1." type="whole" operator="between">
      <formula1>0</formula1>
      <formula2>1</formula2>
    </dataValidation>
    <dataValidation sqref="K6 K7 K8 K9 K10 K11 K12 K13" showDropDown="0" showInputMessage="0" showErrorMessage="0" allowBlank="1" errorTitle="Ugyldig" error="Skriv et heltall 1-5, eller la cellen stå tom." type="whole" operator="between">
      <formula1>1</formula1>
      <formula2>5</formula2>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B1:C127"/>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4" customWidth="1" min="1" max="1"/>
    <col width="24" customWidth="1" min="2" max="2"/>
    <col width="110" customWidth="1" min="3" max="3"/>
  </cols>
  <sheetData>
    <row r="1">
      <c r="B1" s="8" t="inlineStr">
        <is>
          <t>Samtale 5: 4-aci</t>
        </is>
      </c>
    </row>
    <row r="2">
      <c r="B2" s="2" t="inlineStr">
        <is>
          <t>Gå til scoring-fanen «Samtale 5 – Scoring» når du har lest gjennom.</t>
        </is>
      </c>
    </row>
    <row r="4">
      <c r="B4" s="9" t="inlineStr">
        <is>
          <t>TRANSKRIPT (kildesamtale)</t>
        </is>
      </c>
    </row>
    <row r="5" ht="15" customHeight="1">
      <c r="C5" s="4" t="inlineStr">
        <is>
          <t>[doctor] hey william so i see that you injured your knee could you tell me a bit about what happened</t>
        </is>
      </c>
    </row>
    <row r="6" ht="30" customHeight="1">
      <c r="C6" s="4" t="inlineStr">
        <is>
          <t>[patient] yeah i thought it was a good idea to go to the trampoline park with my wife and heard a snap and instant pain when i was on the trampoline</t>
        </is>
      </c>
    </row>
    <row r="7" ht="15" customHeight="1">
      <c r="C7" s="4" t="inlineStr">
        <is>
          <t>[doctor] okay alright and so do do you go to the trampoline park often</t>
        </is>
      </c>
    </row>
    <row r="8" ht="15" customHeight="1">
      <c r="C8" s="4" t="inlineStr">
        <is>
          <t>[patient] i do n't and i think that's the issue</t>
        </is>
      </c>
    </row>
    <row r="9" ht="15" customHeight="1">
      <c r="C9" s="4" t="inlineStr">
        <is>
          <t>[doctor] okay so this is the first time you'd ever done something like that</t>
        </is>
      </c>
    </row>
    <row r="10" ht="15" customHeight="1">
      <c r="C10" s="4" t="inlineStr">
        <is>
          <t>[patient] yes</t>
        </is>
      </c>
    </row>
    <row r="11" ht="30" customHeight="1">
      <c r="C11" s="4" t="inlineStr">
        <is>
          <t>[doctor] okay alright i just wan na get like a few more details do you like work out regularly was this for fun or for like an exercise class</t>
        </is>
      </c>
    </row>
    <row r="12" ht="15" customHeight="1">
      <c r="C12" s="4" t="inlineStr">
        <is>
          <t>[patient] no it's just for fun</t>
        </is>
      </c>
    </row>
    <row r="13" ht="15" customHeight="1">
      <c r="C13" s="4" t="inlineStr">
        <is>
          <t>[doctor] okay and do you have like a regular exercise regimen at all</t>
        </is>
      </c>
    </row>
    <row r="14" ht="15" customHeight="1">
      <c r="C14" s="4" t="inlineStr">
        <is>
          <t>[patient] try to not consistent with it</t>
        </is>
      </c>
    </row>
    <row r="15" ht="30" customHeight="1">
      <c r="C15" s="4" t="inlineStr">
        <is>
          <t>[doctor] okay no that's fine this is not a place of judgment i just i'm just trying to understand like if a little bit more of the background okay so we went to the trampoline park which knee where did you hurt</t>
        </is>
      </c>
    </row>
    <row r="16" ht="15" customHeight="1">
      <c r="C16" s="4" t="inlineStr">
        <is>
          <t>[patient] my right</t>
        </is>
      </c>
    </row>
    <row r="17" ht="15" customHeight="1">
      <c r="C17" s="4" t="inlineStr">
        <is>
          <t>[doctor] okay your right knee and so based on like your inside and outside which part hurts more</t>
        </is>
      </c>
    </row>
    <row r="18" ht="15" customHeight="1">
      <c r="C18" s="4" t="inlineStr">
        <is>
          <t>[patient] it's kind of the outside of the knee</t>
        </is>
      </c>
    </row>
    <row r="19" ht="15" customHeight="1">
      <c r="C19" s="4" t="inlineStr">
        <is>
          <t>[doctor] alright so the lateral aspect not a problem and you said that you heard a pop when you landed right</t>
        </is>
      </c>
    </row>
    <row r="20" ht="15" customHeight="1">
      <c r="C20" s="4" t="inlineStr">
        <is>
          <t>[patient] yeah</t>
        </is>
      </c>
    </row>
    <row r="21" ht="15" customHeight="1">
      <c r="C21" s="4" t="inlineStr">
        <is>
          <t>[doctor] okay have you taken anything for the pain</t>
        </is>
      </c>
    </row>
    <row r="22" ht="15" customHeight="1">
      <c r="C22" s="4" t="inlineStr">
        <is>
          <t>[patient] just tylenol</t>
        </is>
      </c>
    </row>
    <row r="23" ht="15" customHeight="1">
      <c r="C23" s="4" t="inlineStr">
        <is>
          <t>[doctor] alright so did the tylenol help</t>
        </is>
      </c>
    </row>
    <row r="24" ht="15" customHeight="1">
      <c r="C24" s="4" t="inlineStr">
        <is>
          <t>[patient] not really</t>
        </is>
      </c>
    </row>
    <row r="25" ht="30" customHeight="1">
      <c r="C25" s="4" t="inlineStr">
        <is>
          <t>[doctor] okay alright and so hmmm when does it have you tried anything else like did you ice it use heat anything like that</t>
        </is>
      </c>
    </row>
    <row r="26" ht="15" customHeight="1">
      <c r="C26" s="4" t="inlineStr">
        <is>
          <t>[patient] no i just kinda elevated it and that was about it</t>
        </is>
      </c>
    </row>
    <row r="27" ht="15" customHeight="1">
      <c r="C27" s="4" t="inlineStr">
        <is>
          <t>[doctor] okay that's fine and how long ago did this happen</t>
        </is>
      </c>
    </row>
    <row r="28" ht="15" customHeight="1">
      <c r="C28" s="4" t="inlineStr">
        <is>
          <t>[patient] a week ago</t>
        </is>
      </c>
    </row>
    <row r="29" ht="15" customHeight="1">
      <c r="C29" s="4" t="inlineStr">
        <is>
          <t>[doctor] okay alright so you put up with the pain for a week that's i'm proud of you for that</t>
        </is>
      </c>
    </row>
    <row r="30" ht="15" customHeight="1">
      <c r="C30" s="4" t="inlineStr">
        <is>
          <t>[patient] i do n't like to come to the doctors</t>
        </is>
      </c>
    </row>
    <row r="31" ht="75" customHeight="1">
      <c r="C31" s="4" t="inlineStr">
        <is>
          <t>[doctor] excuse me i feel rejected right now why why would you say something like that it's fine but you know i i like it when you're not here either because that means that you're doing a good job so let's see about like getting your knee fixed up but i want to talk about some of the other issues that you have first so we know that you have hypertension right and i discussed maybe you getting a blood pressure cuff because i needed you to measure those a bit more regularly did you get the cuff</t>
        </is>
      </c>
    </row>
    <row r="32" ht="15" customHeight="1">
      <c r="C32" s="4" t="inlineStr">
        <is>
          <t>[patient] what no</t>
        </is>
      </c>
    </row>
    <row r="33" ht="15" customHeight="1">
      <c r="C33" s="4" t="inlineStr">
        <is>
          <t>[doctor] no okay that's fine have you measured your blood pressure recently at all</t>
        </is>
      </c>
    </row>
    <row r="34" ht="15" customHeight="1">
      <c r="C34" s="4" t="inlineStr">
        <is>
          <t>[patient] no</t>
        </is>
      </c>
    </row>
    <row r="35" ht="15" customHeight="1">
      <c r="C35" s="4" t="inlineStr">
        <is>
          <t>[doctor] okay are you still taking your medication because i see you're on twenty milligrams of lisinopril</t>
        </is>
      </c>
    </row>
    <row r="36" ht="15" customHeight="1">
      <c r="C36" s="4" t="inlineStr">
        <is>
          <t>[patient] yeah most days i remember</t>
        </is>
      </c>
    </row>
    <row r="37" ht="15" customHeight="1">
      <c r="C37" s="4" t="inlineStr">
        <is>
          <t>[doctor] okay</t>
        </is>
      </c>
    </row>
    <row r="38" ht="30" customHeight="1">
      <c r="C38" s="4" t="inlineStr">
        <is>
          <t>[patient] ra i'm not suspicious but we're just gon na go with that okay because looking at your vitals it it is of still a bit high i'm not really comfortable i see like a hundred and eighty over you know eighty and</t>
        </is>
      </c>
    </row>
    <row r="39" ht="30" customHeight="1">
      <c r="C39" s="4" t="inlineStr">
        <is>
          <t>[doctor] that's not where we wan na be so i wonder if we might need to adjust your medication but let's talk about your diabetes how are your blood sugars</t>
        </is>
      </c>
    </row>
    <row r="40" ht="15" customHeight="1">
      <c r="C40" s="4" t="inlineStr">
        <is>
          <t>[patient] i think they're little bit better</t>
        </is>
      </c>
    </row>
    <row r="41" ht="15" customHeight="1">
      <c r="C41" s="4" t="inlineStr">
        <is>
          <t>[doctor] okay what makes you think that have you been taking them</t>
        </is>
      </c>
    </row>
    <row r="42" ht="15" customHeight="1">
      <c r="C42" s="4" t="inlineStr">
        <is>
          <t>[patient] yeah i check it you know most days again kinda when i remember</t>
        </is>
      </c>
    </row>
    <row r="43" ht="15" customHeight="1">
      <c r="C43" s="4" t="inlineStr">
        <is>
          <t>[doctor] okay how often are you checking it</t>
        </is>
      </c>
    </row>
    <row r="44" ht="15" customHeight="1">
      <c r="C44" s="4" t="inlineStr">
        <is>
          <t>[patient] i would say four five times a week</t>
        </is>
      </c>
    </row>
    <row r="45" ht="30" customHeight="1">
      <c r="C45" s="4" t="inlineStr">
        <is>
          <t>[doctor] okay you might wan na switch to maybe two or three times a day but you know that's something i'm glad that you are measuring are you taking your metformin</t>
        </is>
      </c>
    </row>
    <row r="46" ht="15" customHeight="1">
      <c r="C46" s="4" t="inlineStr">
        <is>
          <t>[patient] yes</t>
        </is>
      </c>
    </row>
    <row r="47" ht="15" customHeight="1">
      <c r="C47" s="4" t="inlineStr">
        <is>
          <t>[doctor] okay and then i think we have you on five hundred milligrams correct</t>
        </is>
      </c>
    </row>
    <row r="48" ht="15" customHeight="1">
      <c r="C48" s="4" t="inlineStr">
        <is>
          <t>[patient] yes</t>
        </is>
      </c>
    </row>
    <row r="49" ht="15" customHeight="1">
      <c r="C49" s="4" t="inlineStr">
        <is>
          <t>[doctor] alright how is your diet</t>
        </is>
      </c>
    </row>
    <row r="50" ht="15" customHeight="1">
      <c r="C50" s="4" t="inlineStr">
        <is>
          <t>[patient] kinda the same as my exercise decent could be better</t>
        </is>
      </c>
    </row>
    <row r="51" ht="30" customHeight="1">
      <c r="C51" s="4" t="inlineStr">
        <is>
          <t>[doctor] alright and okay not a problem so what is your do you are you measuring your calories at all looking at your macros are you just eating what you feel like</t>
        </is>
      </c>
    </row>
    <row r="52" ht="15" customHeight="1">
      <c r="C52" s="4" t="inlineStr">
        <is>
          <t>[patient] yeah just trying to watch what i eat more than anything but nothing specific</t>
        </is>
      </c>
    </row>
    <row r="53" ht="30" customHeight="1">
      <c r="C53" s="4" t="inlineStr">
        <is>
          <t>[doctor] okay and are you do you know if you're particularly focused on your salt like is it like a low salt diet</t>
        </is>
      </c>
    </row>
    <row r="54" ht="15" customHeight="1">
      <c r="C54" s="4" t="inlineStr">
        <is>
          <t>[patient] no just trying to watch my carbs a little bit more but not counting or anything</t>
        </is>
      </c>
    </row>
    <row r="55" ht="15" customHeight="1">
      <c r="C55" s="4" t="inlineStr">
        <is>
          <t>[doctor] alright so like is it a specific diet i just wan na make sure like are you on like the keto diet</t>
        </is>
      </c>
    </row>
    <row r="56" ht="15" customHeight="1">
      <c r="C56" s="4" t="inlineStr">
        <is>
          <t>[patient] no</t>
        </is>
      </c>
    </row>
    <row r="57" ht="60" customHeight="1">
      <c r="C57" s="4" t="inlineStr">
        <is>
          <t>[doctor] okay alright not a problem so if you do n't mind i'm gon na go ahead and do a quick physical exam as i mentioned before your blood pressure is a little high as i listen to your heart i do like it's got a nice regular rate and rhythm i do n't appreciate any murmur when i listen to your lungs they sound clear bilaterally i would like to look at your knee though so when i press here on the outside does it hurt</t>
        </is>
      </c>
    </row>
    <row r="58" ht="15" customHeight="1">
      <c r="C58" s="4" t="inlineStr">
        <is>
          <t>[patient] little bit</t>
        </is>
      </c>
    </row>
    <row r="59" ht="15" customHeight="1">
      <c r="C59" s="4" t="inlineStr">
        <is>
          <t>[doctor] okay and then when i press on the inside does it hurt</t>
        </is>
      </c>
    </row>
    <row r="60" ht="15" customHeight="1">
      <c r="C60" s="4" t="inlineStr">
        <is>
          <t>[patient] no</t>
        </is>
      </c>
    </row>
    <row r="61" ht="15" customHeight="1">
      <c r="C61" s="4" t="inlineStr">
        <is>
          <t>[doctor] alright can you bend your knee and straighten it</t>
        </is>
      </c>
    </row>
    <row r="62" ht="15" customHeight="1">
      <c r="C62" s="4" t="inlineStr">
        <is>
          <t>[patient] i can i think that's all i can i can bend</t>
        </is>
      </c>
    </row>
    <row r="63" ht="15" customHeight="1">
      <c r="C63" s="4" t="inlineStr">
        <is>
          <t>[doctor] mm-hmm alright so are you having problems walking can you bear weight</t>
        </is>
      </c>
    </row>
    <row r="64" ht="15" customHeight="1">
      <c r="C64" s="4" t="inlineStr">
        <is>
          <t>[patient] i can but i have a little bit of a limp</t>
        </is>
      </c>
    </row>
    <row r="65" ht="120" customHeight="1">
      <c r="C65" s="4" t="inlineStr">
        <is>
          <t>[doctor] okay so do you mind getting up and walking for me really quickly alright so i do notice that there is a slight gait like there is a small sorry you are correcting you do have a limp i i am a little worried about that but it's probably it's probably the superficial when i'm looking at your knee i do notice some like ecchymosis and edema that just means bruising and swelling along the lateral aspect of your knee i do n't notice any effusion and it looks like you have a decent range of motion but i do understand that you know you are experiencing pain with some movement okay i'm gon na go ahead and order an x-ray and when you come back we can have that discussion alright so i reviewed the results of your right knee x-ray which showed no evidence of fracture or bony abnormality so let's talk about my assessment and plan alright so for your first problem of right knee pain i think you have a lateral a lateral ligament strain i wan na prescribe some meloxicam which is gon na be fifteen milligrams daily for pain and swelling i'm gon na refer you to physical therapy to help strengthen the muscles around the area and to prevent further injury if you're still having pain we can do further imaging imaging but like this is a common injury that tends to heal on its own for your second problem with hypertension i wan na continue the lisinopril at twenty milligrams and order an echo i am concerned that we might not be getting your blood pressure to where we need it to be so we might have to do some medication modification for your third problem with diabetes i wan na order an a1c i know that you said you have been measuring your blood sugars but i think this would give us a better image of what's been happening long term and i also wan na order a lipid panel in case we need to make any adjustments to that medication as well do you have any questions</t>
        </is>
      </c>
    </row>
    <row r="66" ht="15" customHeight="1">
      <c r="C66" s="4" t="inlineStr">
        <is>
          <t>[patient] sounds good</t>
        </is>
      </c>
    </row>
    <row r="67" ht="15" customHeight="1">
      <c r="C67" s="4" t="inlineStr">
        <is>
          <t>[doctor] alright awesome</t>
        </is>
      </c>
    </row>
    <row r="70">
      <c r="B70" s="9" t="inlineStr">
        <is>
          <t>REFERANSENOTAT (tgt – 'gold standard')</t>
        </is>
      </c>
    </row>
    <row r="71" ht="15" customHeight="1">
      <c r="C71" s="4" t="inlineStr">
        <is>
          <t>CHIEF COMPLAINT</t>
        </is>
      </c>
    </row>
    <row r="73" ht="15" customHeight="1">
      <c r="C73" s="4" t="inlineStr">
        <is>
          <t>Right knee injury.</t>
        </is>
      </c>
    </row>
    <row r="75" ht="15" customHeight="1">
      <c r="C75" s="4" t="inlineStr">
        <is>
          <t>HISTORY OF PRESENT ILLNESS</t>
        </is>
      </c>
    </row>
    <row r="77" ht="30" customHeight="1">
      <c r="C77" s="4" t="inlineStr">
        <is>
          <t>William Russell is a pleasant 57-year-old male who presents to the clinic today for the evaluation of a right knee injury. He has a past medical history significant for hypertension and type 2 diabetes.</t>
        </is>
      </c>
    </row>
    <row r="79" ht="75" customHeight="1">
      <c r="C79" s="4" t="inlineStr">
        <is>
          <t>Approximately 1 week ago, the patient sustained an injury to his right knee while at a trampoline park. He explains that he was jumping on a trampoline when he heard a snap, followed by instant pain in the lateral aspect of his knee. This is not a common activity for him, and he admits that he is inconsistent with exercise. As far as treatment, he has been elevating his knee and taking Tylenol without significant relief of his pain. He has not tried applying heat or ice to the area.</t>
        </is>
      </c>
    </row>
    <row r="81" ht="45" customHeight="1">
      <c r="C81" s="4" t="inlineStr">
        <is>
          <t>In terms of his hypertension, the patient admits that he did not purchase a blood pressure cuff as previously recommended. While he does not monitor his blood pressures at home, he has been compliant with lisinopril 20 mg.</t>
        </is>
      </c>
    </row>
    <row r="83" ht="45" customHeight="1">
      <c r="C83" s="4" t="inlineStr">
        <is>
          <t>His diabetes appears to be stable based on home monitoring, although he is only checking his blood glucose levels 4 to 5 times per week. He does not follow any specific diet plan, but he does try to make healthier choices such as limiting his carbohydrate intake. He has also been taking his metformin 500 mg as prescribed.</t>
        </is>
      </c>
    </row>
    <row r="85" ht="15" customHeight="1">
      <c r="C85" s="4" t="inlineStr">
        <is>
          <t>REVIEW OF SYSTEMS</t>
        </is>
      </c>
    </row>
    <row r="87" ht="15" customHeight="1">
      <c r="C87" s="4" t="inlineStr">
        <is>
          <t>Musculoskeletal: Reports right knee pain.</t>
        </is>
      </c>
    </row>
    <row r="89" ht="15" customHeight="1">
      <c r="C89" s="4" t="inlineStr">
        <is>
          <t>VITALS</t>
        </is>
      </c>
    </row>
    <row r="91" ht="15" customHeight="1">
      <c r="C91" s="4" t="inlineStr">
        <is>
          <t>Blood pressure: 180/80 mmHg</t>
        </is>
      </c>
    </row>
    <row r="93" ht="15" customHeight="1">
      <c r="C93" s="4" t="inlineStr">
        <is>
          <t>PHYSICAL EXAM</t>
        </is>
      </c>
    </row>
    <row r="95" ht="15" customHeight="1">
      <c r="C95" s="4" t="inlineStr">
        <is>
          <t>CV: Regular rate and rhythm. No murmurs.</t>
        </is>
      </c>
    </row>
    <row r="96" ht="15" customHeight="1">
      <c r="C96" s="4" t="inlineStr">
        <is>
          <t>RESPIRATORY:</t>
        </is>
      </c>
    </row>
    <row r="97" ht="15" customHeight="1">
      <c r="C97" s="4" t="inlineStr">
        <is>
          <t>Lungs are clear bilaterally.</t>
        </is>
      </c>
    </row>
    <row r="98" ht="30" customHeight="1">
      <c r="C98" s="4" t="inlineStr">
        <is>
          <t>MSK: Examination of the right knee: Mild tenderness to palpation at the lateral aspect. Ecchymosis and edema along the lateral aspect. No effusion. Decent range of motion. Pain with movement.</t>
        </is>
      </c>
    </row>
    <row r="100" ht="15" customHeight="1">
      <c r="C100" s="4" t="inlineStr">
        <is>
          <t>RESULTS</t>
        </is>
      </c>
    </row>
    <row r="102" ht="30" customHeight="1">
      <c r="C102" s="4" t="inlineStr">
        <is>
          <t>X-rays of the right knee were obtained and reviewed. These reveal no evidence of fracture or bony abnormality.</t>
        </is>
      </c>
    </row>
    <row r="104" ht="15" customHeight="1">
      <c r="C104" s="4" t="inlineStr">
        <is>
          <t>ASSESSMENT</t>
        </is>
      </c>
    </row>
    <row r="106" ht="15" customHeight="1">
      <c r="C106" s="4" t="inlineStr">
        <is>
          <t>1. Right knee pain, lateral ligament strain.</t>
        </is>
      </c>
    </row>
    <row r="107" ht="15" customHeight="1">
      <c r="C107" s="4" t="inlineStr">
        <is>
          <t>2. Hypertension.</t>
        </is>
      </c>
    </row>
    <row r="108" ht="15" customHeight="1">
      <c r="C108" s="4" t="inlineStr">
        <is>
          <t>3. Diabetes type 2.</t>
        </is>
      </c>
    </row>
    <row r="110" ht="15" customHeight="1">
      <c r="C110" s="4" t="inlineStr">
        <is>
          <t>PLAN</t>
        </is>
      </c>
    </row>
    <row r="112" ht="75" customHeight="1">
      <c r="C112" s="4" t="inlineStr">
        <is>
          <t>After reviewing the patient's examination and radiographic findings today, his symptoms appear to be consistent with a lateral ligament strain of the right knee. I am going to prescribe meloxicam 15 mg once daily for pain and swelling. I also put in a referral for physical therapy so he can work on strengthening the muscles around the area and prevent any further injury. We can consider further imaging if he continues to have pain, but I explained that this is a common injury that typically heals on it's own.</t>
        </is>
      </c>
    </row>
    <row r="114" ht="45" customHeight="1">
      <c r="C114" s="4" t="inlineStr">
        <is>
          <t>For his hypertension, I'm concerned that his blood pressure is not well controlled at this time, so we may need to modify his medication. I'm going to order an echocardiogram for further evaluation, but I want him to continue taking his lisinopril 20 mg for now.</t>
        </is>
      </c>
    </row>
    <row r="116" ht="75" customHeight="1">
      <c r="C116" s="4" t="inlineStr">
        <is>
          <t>For his diabetes, he stated that he has been measuring his blood glucose levels 4 to 5 times per week, but I want him to start measuring them 2 to 3 times per day. His hemoglobin A1c levels should provide more detail as far as his long-term progress so we will order that today. I'm also going to order a lipid panel and we can determine if any adjustments need to be made to his medication. In the meantime, he should continue taking metformin 500 mg.</t>
        </is>
      </c>
    </row>
    <row r="119">
      <c r="B119" s="9" t="inlineStr">
        <is>
          <t>GENERERTE SAMMENDRAG (per strategi)</t>
        </is>
      </c>
    </row>
    <row r="120" ht="255" customHeight="1">
      <c r="B120" s="10" t="inlineStr">
        <is>
          <t>01_zero_shot_minimal_baseline</t>
        </is>
      </c>
      <c r="C120" s="4" t="inlineStr">
        <is>
          <t>**S - Subjektive opplysninger**  
Pasienten oppsøker legevakt grunnet høyresidige knesmerter etter skade på trampoline for 1 uke siden. Oppgir at han hørte et “snap/pop” med umiddelbar smerte. Smerten sitter hovedsakelig lateralt i høyre kne. Har tatt Paracet uten særlig effekt. Har kun forsøkt elevasjon, ikke is eller varme. Kan belaste, men halter litt. Oppgir kjent hypertensjon og diabetes. Har ikke målt blodtrykk nylig og tar lisinopril 20 mg “de fleste dager”. Måler blodsukker 4–5 ganger per uke og tar metformin 500 mg. Oppgir at blodsukkeret virker “litt bedre”.
**O - Objektive opplysninger**  
Blodtrykk oppgitt som fortsatt forhøyet, rundt 180/80. Cor: regelmessig rytme, ingen bilyd. Pulm: klare lungelyder bilateralt. Høyre kne: ømhet lateralt, ikke medialt. Noe smerter ved bevegelse, men relativt god bevegelighet. Kan belaste, men med lett halting. Ved inspeksjon sees ekkymose og hevelse lateralt. Ingen effusjon. Røntgen av høyre kne viste ingen fraktur eller annen benet abnormalitet.
**A - Vurdering**  
1. Høyre knesmerter etter trampoline-skade, forenlig med lateral ligamentskade/strekk. Ingen fraktur på røntgen.  
2. Hypertensjon, utilstrekkelig kontrollert.  
3. Diabetes, behov for videre kontroll av langtidsblodsukker og lipider.
**P - Plan**  
- Forskriver meloksikam 15 mg daglig mot smerte og hevelse.  
- Henvisning til fysioterapi.  
- Vurdere videre bildediagnostikk ved vedvarende smerter.  
- Fortsette lisinopril 20 mg, bestille ekkokardiografi og vurdere senere medikamentjustering for blodtrykk.  
- Bestille HbA1c og lipidpanel.</t>
        </is>
      </c>
    </row>
    <row r="121" ht="400" customHeight="1">
      <c r="B121" s="10" t="inlineStr">
        <is>
          <t>02_zero_shot_structured_instruction</t>
        </is>
      </c>
      <c r="C121" s="4" t="inlineStr">
        <is>
          <t>S - Subjektive opplysninger:
- Kontakt pga. høyresidige knesmerter etter skade på trampoline for 1 uke siden. Pasienten opplyser at han hørte et “snap/pop” med umiddelbar smerte ved landing.
- Smertene er mest lokalisert lateralt i høyre kne.
- Har tatt Tylenol uten særlig effekt. Har ellers kun hevet benet, ikke brukt is eller varme.
- Kan belaste, men går med lett halting.
- Oppgir kjent hypertensjon. Har ikke skaffet blodtrykksmansjett og har ikke målt blodtrykk nylig. Tar lisinopril 20 mg, men husker det bare “de fleste dager”.
- Oppgir diabetes. Måler blodsukker 4–5 ganger per uke, tar metformin 500 mg. Opplever at blodsukkeret er “litt bedre”. Kosthold uendret, forsøker å følge litt med på karbohydrater, men ikke spesifikk diett.
O - Objektive opplysninger:
- Vitalia omtalt med blodtrykk rundt 180/80, vurdert som for høyt.
- Hjerte: regelmessig frekvens og rytme, ingen bilyd auskultert.
- Lunger: klare bilateralt.
- Høyre kne: ømhet lateralt ved palpasjon, ikke medialt. Ekchymose og hevelse lateralt. Ingen effusjon observert. Bevegelighet beskrevet som brukbar, men smerter ved noe bevegelse.
- Ganglag: lett halting observert.
- Røntgen høyre kne: ingen fraktur eller benet abnormalitet.
A - Vurdering:
- Høyre knesmerter etter vridnings-/landingsskade, med klinisk vurdering forenlig med lateral ligamentskade/strekk. Røntgen uten fraktur eller annen benpatologi.
- Hypertensjon med utilstrekkelig kontroll ut fra oppgitt blodtrykk og uregelmessig medikamentetterlevelse.
- Diabetes under oppfølging; langtidskontroll uklar.
P - Plan:
- Meloksikam 15 mg daglig mot smerte og hevelse i kneet.
- Henvisning til fysioterapi for styrking og forebygging av videre skade.
- Ved vedvarende smerter vurderes videre bildediagnostikk.
- Fortsette lisinopril 20 mg. Bestille ekkokardiografi. Mulig senere justering av blodtrykksbehandling.
- Bestille HbA1c og lipidpanel for videre vurdering av diabetes- og lipidbehandling.
- Råd om hyppigere blodsukkermåling, foreslått 2–3 ganger daglig.</t>
        </is>
      </c>
    </row>
    <row r="122" ht="390" customHeight="1">
      <c r="B122" s="10" t="inlineStr">
        <is>
          <t>03_one_shot</t>
        </is>
      </c>
      <c r="C122" s="4" t="inlineStr">
        <is>
          <t>S - Subjektive opplysninger:
- Kontaktårsak er høyre kneskade. Pasienten oppgir at skaden oppsto for 1 uke siden på trampolinepark, med hørbart «snap/pop» og umiddelbar smerte ved landing. Smerten sitter hovedsakelig lateralt i høyre kne.
- Har kun brukt paracetamol uten særlig effekt. Har ellers hevet benet, men ikke brukt is eller varme.
- Kan belaste benet, men halter litt.
- Oppgir kjent hypertensjon. Har ikke skaffet blodtrykksapparat og har ikke målt blodtrykk nylig. Oppgir at han tar lisinopril 20 mg «de fleste dager».
- Oppgir diabetes. Sier blodsukrene kanskje er litt bedre. Måler blodsukker 4–5 ganger per uke når han husker det. Oppgir at han tar metformin 500 mg. Kostholdet beskrives som «kunne vært bedre»; forsøker å følge litt med på karbohydrater, men ikke spesifikk diett.
O - Objektive opplysninger:
- Vitalia: blodtrykk omtalt som forhøyet, rundt 180/80.
- Hjerte: regelmessig frekvens og rytme, ingen bilyd auskultert.
- Lunger: klare bilateralt.
- Høyre kne: ømhet lateralt, ikke medialt. Lett halt ved gange. Ekchymose og hevelse lateralt. Ingen effusjon. Bevegelighet omtalt som rimelig god, men smerter ved noe bevegelse.
- Røntgen høyre kne: ingen tegn til fraktur eller annen benet abnormalitet.
A - Vurdering:
- Høyre knesmerte etter trampolineulykke, vurdert som lateral ligamentskade/strekk. Røntgen uten fraktur eller benet skade.
- Hypertensjon med fortsatt forhøyet blodtrykk; legen uttrykker bekymring for at blodtrykket ikke er godt nok kontrollert.
- Diabetes, videre vurdering planlegges med HbA1c og lipidpanel.
P - Plan:
- Forskriver meloksikam 15 mg daglig mot smerte og hevelse.
- Henvisning til fysioterapi for styrking og forebygging av videre skade.
- Ved vedvarende smerter kan videre bildediagnostikk vurderes.
- Fortsette lisinopril 20 mg. Bestiller ekkokardiografi. Medikamentjustering for blodtrykk kan bli aktuelt senere.
- Bestiller HbA1c og lipidpanel.
- Råd om hyppigere blodsukkermåling, foreslått 2–3 ganger daglig.</t>
        </is>
      </c>
    </row>
    <row r="123" ht="375" customHeight="1">
      <c r="B123" s="10" t="inlineStr">
        <is>
          <t>04_two_shot</t>
        </is>
      </c>
      <c r="C123" s="4" t="inlineStr">
        <is>
          <t>S - Subjektive opplysninger:
- Kontaktårsak er høyre kneskade. Pasienten oppgir at skaden oppsto for 1 uke siden på trampolinepark, med hørbart «snap/pop» og umiddelbar smerte ved landing.
- Smerten er lokalisert lateralt i høyre kne. Har tatt paracetamol uten særlig effekt. Har ellers kun holdt benet hevet, ikke brukt is eller varme.
- Kan belaste benet, men oppgir lett halting.
- Kjent hypertensjon. Har ikke skaffet blodtrykksmansjett og har ikke målt blodtrykk nylig. Oppgir at han tar lisinopril 20 mg «de fleste dager».
- Kjent diabetes. Oppgir at blodsukkeret virker litt bedre. Måler blodsukker 4–5 ganger per uke når han husker det. Oppgir bruk av metformin 500 mg. Kostholdet beskrives som «kunne vært bedre», forsøker å følge litt med på karbohydrater, men ikke spesifikk diett.
O - Objektive opplysninger:
- Vitalia: blodtrykk omtalt som fortsatt forhøyet, rundt 180/80.
- Hjerte: regelmessig frekvens og rytme, ingen bilyd auskultert.
- Lunger: klare bilateralt.
- Høyre kne: ømhet lateralt, ikke medialt. Pasienten kan bøye og strekke kneet, men har smerter ved noe bevegelse. Lett haltende gange observert. Det beskrives ekkymose og hevelse lateralt. Ingen effusjon. Legen vurderer bevegelsesutslag som rimelig godt.
- Røntgen høyre kne: ingen tegn til fraktur eller benet abnormalitet.
A - Vurdering:
- Høyre knesmerte etter trampolineuhell, med lateral ømhet, hevelse/blåmerker og negativ røntgen for fraktur. Vurderes av legen som lateral ligamentskade/ligamentstrekk.
- Hypertensjon med utilstrekkelig kontroll ut fra oppgitt blodtrykk og uregelmessig medikamentetterlevelse. Legen opplyser at medikamentjustering kan bli nødvendig.
- Diabetes følges opp videre med HbA1c for bedre langtidsvurdering.
P - Plan:
- Starte meloksikam 15 mg daglig mot smerte og hevelse i kneet.
- Henvisning til fysioterapi for styrking og forebygging av videre skade.
- Ved vedvarende smerter kan videre bildediagnostikk vurderes.
- Fortsette lisinopril 20 mg. Bestille ekkokardiografi. Videre vurdering av behov for justering av blodtrykksbehandling.
- Bestille HbA1c og lipidpanel.</t>
        </is>
      </c>
    </row>
    <row r="124" ht="375" customHeight="1">
      <c r="B124" s="10" t="inlineStr">
        <is>
          <t>05_two_shot_decomposition</t>
        </is>
      </c>
      <c r="C124" s="4" t="inlineStr">
        <is>
          <t>S - Subjektive opplysninger:
- Oppsøker for høyre kneskade etter trampolinepark for 1 uke siden. Oppgir at han hørte et «snap/pop» med umiddelbar smerte. Smerten sitter lateralt i høyre kne.
- Har tatt paracetamol uten særlig effekt. Har ellers kun holdt kneet hevet, ikke brukt is eller varme.
- Kan belaste benet, men halter litt.
- Kjent hypertensjon. Har ikke skaffet blodtrykksapparat og har ikke målt blodtrykk nylig. Oppgir at han tar lisinopril 20 mg «de fleste dager».
- Kjent diabetes. Oppgir at blodsukkeret virker litt bedre. Måler blodsukker 4–5 ganger per uke når han husker det, og tar metformin 500 mg. Kostholdet beskrives som «kunne vært bedre», forsøker å følge litt med på karbohydrater, men ikke spesifikk diett.
O - Objektive opplysninger:
- Vitalia: blodtrykk omtalt som fortsatt forhøyet, rundt 180/80.
- Hjerte: regelmessig rytme, ingen bilyd omtalt.
- Lunger: klare bilateralt.
- Høyre kne: ømhet lateralt, ikke medialt. Pasienten kan bøye og strekke kneet, med smerter ved noe bevegelse. Lett halt ved gange. Klinisk sees ekkymose og hevelse lateralt. Ingen effusjon. Legen beskriver bevegelsesutslag som brukbart.
- Røntgen høyre kne: ingen fraktur eller benet abnormalitet.
A - Vurdering:
- Høyre knesmerte etter vridnings-/landingsskade på trampoline, med lateral ømhet, hevelse/blåmerker og normal røntgen, vurderes som lateral ligamentskade/ligamentstrekk.
- Hypertensjon med fortsatt forhøyet blodtrykk og ujevn etterlevelse av lisinopril.
- Diabetes med egenmålinger av blodsukker, men langtidskontroll uklar.
P - Plan:
- Starte meloksikam 15 mg daglig mot smerte og hevelse i kneet.
- Henvisning til fysioterapi for styrking og forebygging av videre skade.
- Ved vedvarende smerter kan videre bildediagnostikk vurderes.
- Fortsette lisinopril 20 mg. Bestille ekkokardiografi. Legen opplyser at blodtrykksbehandlingen kan måtte justeres videre.
- Bestille HbA1c og lipidpanel for videre vurdering av diabetes og eventuell medikamentjustering.</t>
        </is>
      </c>
    </row>
    <row r="125" ht="360" customHeight="1">
      <c r="B125" s="10" t="inlineStr">
        <is>
          <t>06_two_shot_self_criticism</t>
        </is>
      </c>
      <c r="C125" s="4" t="inlineStr">
        <is>
          <t>S - Subjektive opplysninger:
- Kontaktårsak er høyre kneskade. Pasienten oppgir at skaden oppsto for 1 uke siden på trampolinepark, med hørbart «snap/pop» og umiddelbar smerte i høyre kne.
- Smertene er lokalisert lateralt i høyre kne. Har kun brukt paracetamol uten særlig effekt. Har hevet benet, men ikke brukt is eller varme.
- Kan belaste benet, men oppgir halting.
- Relevant sykehistorie: kjent hypertensjon og diabetes. Oppgir at han ikke har målt blodtrykk nylig og ikke har skaffet blodtrykksapparat som tidligere anbefalt. Tar lisinopril 20 mg «de fleste dager». Oppgir at blodsukkeret virker litt bedre, måler dette 4–5 ganger per uke, og bruker metformin 500 mg. Kostholdet beskrives som uspesifikt, forsøker å følge litt med på karbohydrater.
O - Objektive opplysninger:
- Vitalia: blodtrykk omtalt som forhøyet, rundt 180/80.
- Hjerte: regelmessig rytme, ingen bilyd auskultert.
- Lunger: klare bilateralt.
- Høyre kne: ømhet lateralt, ikke medialt. Lett haltende gange observert. Ekymose og hevelse lateralt. Ingen effusjon beskrevet. Bevegelighet omtalt som brukbar, men med smerter ved noe bevegelse.
- Røntgen høyre kne i dagens forløp: ingen tegn til fraktur eller benet abnormalitet.
A - Vurdering:
- Høyre knesmerter etter trampolineuhell forenlig med lateral ligamentskade/strekk ifølge legens vurdering. Røntgen uten fraktur eller annen benet skade.
- Hypertensjon med utilstrekkelig kontroll ut fra oppgitt blodtrykk og uregelmessig egenmåling/medikamentetterlevelse. Legen vurderer mulig behov for medikamentjustering.
- Diabetes følges videre med HbA1c og lipidpanel.
P - Plan:
- Meloksikam 15 mg daglig mot smerte og hevelse.
- Henvisning til fysioterapi for styrking og forebygging av videre skade.
- Ved vedvarende smerter kan videre bildediagnostikk vurderes.
- Fortsette lisinopril 20 mg. Bestille ekkokardiografi som ledd i videre hypertensjonsoppfølging.
- Bestille HbA1c og lipidpanel.</t>
        </is>
      </c>
    </row>
    <row r="126" ht="375" customHeight="1">
      <c r="B126" s="10" t="inlineStr">
        <is>
          <t>07_two_shot_decomposition_self_criticism</t>
        </is>
      </c>
      <c r="C126" s="4" t="inlineStr">
        <is>
          <t>S - Subjektive opplysninger:
- Oppsøker for høyresidige knesmerter etter skade på trampoline for 1 uke siden. Oppgir at han hørte et «snap/pop» med umiddelbar smerte ved landing.
- Smerten er lokalisert lateralt i høyre kne. Har kun brukt paracetamol uten effekt. Har hevet benet, men ikke brukt is eller varme.
- Kan belaste benet, men halter litt.
- Oppgir kjent hypertensjon. Har ikke skaffet blodtrykksapparat og har ikke målt blodtrykk nylig. Oppgir at han tar lisinopril 20 mg «de fleste dager».
- Oppgir diabetes. Mener blodsukkeret er «litt bedre», måler 4–5 ganger per uke og tar metformin 500 mg. Kostholdet beskrives som kunne vært bedre; forsøker å redusere karbohydrater, men følger ingen spesifikk diett.
O - Objektive opplysninger:
- Vitalia omtalt med blodtrykk rundt 180/80, vurdert som for høyt.
- Hjerte: regelmessig rytme, ingen bilyd.
- Lunger: klare bilateralt.
- Høyre kne: ømhet lateralt, ikke medialt. Pasienten kan bøye og strekke kneet, men har smerter ved noe bevegelse. Lett halt ved gange. Synlig ekkymose og hevelse lateralt. Ingen effusjon. Legen beskriver bevegelsesutslag som brukbart.
- Rtg høyre kne: ingen tegn til fraktur eller annen benet abnormalitet.
A - Vurdering:
- Høyre knesmerter etter akutt vridnings-/landingsskade, med normal røntgen. Vurderes som lateral ligamentskade/ligamentstrekk.
- Hypertensjon med utilstrekkelig kontroll ut fra oppgitt blodtrykk og uregelmessig medikamentetterlevelse; videre vurdering planlegges.
- Diabetes mellitus, videre langtidsvurdering planlegges med HbA1c.
P - Plan:
- Meloksikam 15 mg daglig mot smerte og hevelse.
- Henvisning til fysioterapi for styrking og forebygging av videre skade.
- Ved vedvarende smerter kan videre bildediagnostikk vurderes.
- Fortsette lisinopril 20 mg. Bestille ekkokardiografi. Legen opplyser at blodtrykksbehandlingen kan måtte justeres videre.
- Bestille HbA1c og lipidpanel.</t>
        </is>
      </c>
    </row>
    <row r="127" ht="375" customHeight="1">
      <c r="B127" s="10" t="inlineStr">
        <is>
          <t>08_two_shot_decomposition_self_criticism_ensemble</t>
        </is>
      </c>
      <c r="C127" s="4" t="inlineStr">
        <is>
          <t>S - Subjektive opplysninger:
- Kontaktårsak er høyre kneskade. Pasienten oppgir at skaden oppsto for 1 uke siden på trampolinepark, med hørbart «snap/pop» og umiddelbar smerte ved landing.
- Smerten sitter hovedsakelig lateralt i høyre kne. Har tatt paracetamol uten særlig effekt. Har ellers kun hevet benet, ikke brukt is eller varme.
- Kan belaste benet, men oppgir lett halting.
- Oppgir kjent hypertensjon. Har ikke skaffet blodtrykksapparat og har ikke målt blodtrykk nylig. Oppgir at han tar lisinopril 20 mg «de fleste dager».
- Oppgir kjent diabetes. Mener blodsukkeret er litt bedre, måler ca. 4–5 ganger per uke, og tar metformin 500 mg. Kostholdet beskrives som uspesifikt, forsøker å følge litt med på karbohydrater.
O - Objektive opplysninger:
- Vitalia: blodtrykk omtalt som fortsatt forhøyet, rundt 180/80.
- Hjerte: regelmessig rytme, ingen bilyd auskultert.
- Lunger: klare bilateralt.
- Høyre kne: ømhet lateralt, ikke medialt. Pasienten kan bøye og strekke kneet. Lett haltende gange observert. Ekymose og hevelse lateralt. Ingen effusjon. Legen beskriver bevegelsesutslag som brukbart, men med smerter ved noe bevegelse.
- Røntgen høyre kne: ingen tegn til fraktur eller annen benet abnormalitet.
A - Vurdering:
- Høyre knesmerter etter trampolineuhell, med laterale smerter, hevelse/blåmerker og negativ røntgen, vurderes som lateral ligamentskade/ligamentstrekk.
- Hypertensjon med utilstrekkelig kontroll ut fra dagens blodtrykk og uregelmessig etterlevelse av lisinopril; mulig behov for medikamentjustering.
- Diabetes følges opp videre med HbA1c; ingen aktuelle prøvesvar foreligger i konsultasjonen.
P - Plan:
- Starte meloksikam 15 mg daglig mot smerter og hevelse.
- Henvisning til fysioterapi for styrking og forebygging av videre skade.
- Ved vedvarende smerter kan videre bildediagnostikk vurderes.
- Fortsette lisinopril 20 mg. Bestille ekkokardiografi. Legen opplyser at blodtrykksbehandlingen kan måtte justeres videre.
- Bestille HbA1c og lipidpanel.</t>
        </is>
      </c>
    </row>
  </sheetData>
  <mergeCells count="3">
    <mergeCell ref="B70:C70"/>
    <mergeCell ref="B4:C4"/>
    <mergeCell ref="B119:C119"/>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O13"/>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30" customWidth="1" min="1" max="1"/>
    <col width="60" customWidth="1" min="2" max="2"/>
    <col width="12" customWidth="1" min="3" max="3"/>
    <col width="12" customWidth="1" min="4" max="4"/>
    <col width="12" customWidth="1" min="5" max="5"/>
    <col width="12" customWidth="1" min="6" max="6"/>
    <col width="12" customWidth="1" min="7" max="7"/>
    <col width="12" customWidth="1" min="8" max="8"/>
    <col width="12" customWidth="1" min="9" max="9"/>
    <col width="11" customWidth="1" min="10" max="10"/>
    <col width="12" customWidth="1" min="11" max="11"/>
    <col width="11" customWidth="1" min="12" max="12"/>
    <col width="11" customWidth="1" min="13" max="13"/>
    <col width="12" customWidth="1" min="14" max="14"/>
    <col width="50" customWidth="1" min="15" max="15"/>
  </cols>
  <sheetData>
    <row r="1">
      <c r="A1" s="8" t="inlineStr">
        <is>
          <t>Samtale 5: 4-aci – manuell scoring</t>
        </is>
      </c>
    </row>
    <row r="2">
      <c r="A2" s="2" t="inlineStr">
        <is>
          <t>Fyll inn tall i gule celler. Grå = utregnet. Grønn = kommentarer.</t>
        </is>
      </c>
    </row>
    <row r="3">
      <c r="A3" s="2" t="inlineStr">
        <is>
          <t>Se «Samtale 5 – Transkript» for samtalen og referansenotatet.</t>
        </is>
      </c>
    </row>
    <row r="5" ht="50" customHeight="1">
      <c r="A5" s="11" t="inlineStr">
        <is>
          <t>Strategi</t>
        </is>
      </c>
      <c r="B5" s="11" t="inlineStr">
        <is>
          <t>Sammendrag (utdrag)</t>
        </is>
      </c>
      <c r="C5" s="11" t="inlineStr">
        <is>
          <t>Forankring
(citation)
1-5</t>
        </is>
      </c>
      <c r="D5" s="11" t="inlineStr">
        <is>
          <t>Nøyaktighet
(accurate)
1-5</t>
        </is>
      </c>
      <c r="E5" s="11" t="inlineStr">
        <is>
          <t>Grundighet
(thorough)
1-5</t>
        </is>
      </c>
      <c r="F5" s="11" t="inlineStr">
        <is>
          <t>Nytteverdi
(useful)
1-5</t>
        </is>
      </c>
      <c r="G5" s="11" t="inlineStr">
        <is>
          <t>Organisert
(organized)
1-5</t>
        </is>
      </c>
      <c r="H5" s="11" t="inlineStr">
        <is>
          <t>Forståelig
(comprehensible)
1-5</t>
        </is>
      </c>
      <c r="I5" s="11" t="inlineStr">
        <is>
          <t>Kortfattet
(succinct)
1-5</t>
        </is>
      </c>
      <c r="J5" s="11" t="inlineStr">
        <is>
          <t>Syntese nødvendig?
(abstraction)
0/1</t>
        </is>
      </c>
      <c r="K5" s="11" t="inlineStr">
        <is>
          <t>Synteseutførelse
(synthesized)
1-5/blank</t>
        </is>
      </c>
      <c r="L5" s="11" t="inlineStr">
        <is>
          <t>Stigma i sammendrag
(voice_summ)
0/1</t>
        </is>
      </c>
      <c r="M5" s="11" t="inlineStr">
        <is>
          <t>Stigma i transkript
(voice_note)
0/1</t>
        </is>
      </c>
      <c r="N5" s="11" t="inlineStr">
        <is>
          <t>Primary score
(snitt)</t>
        </is>
      </c>
      <c r="O5" s="11" t="inlineStr">
        <is>
          <t>Kommentar</t>
        </is>
      </c>
    </row>
    <row r="6" ht="210" customHeight="1">
      <c r="A6" s="12" t="inlineStr">
        <is>
          <t>01_zero_shot_minimal_baseline</t>
        </is>
      </c>
      <c r="B6" s="13" t="inlineStr">
        <is>
          <t>**S - Subjektive opplysninger**  
Pasienten oppsøker legevakt grunnet høyresidige knesmerter etter skade på trampoline for 1 uke siden. Oppgir at han hørte et “snap/pop” med umiddelbar smerte. Smerten sitter hovedsakelig lateralt i høyre kne. Har tatt Paracet uten særlig effekt. Har kun forsøkt elevasjon, ikke is eller varme. Kan belaste, men halter litt. Oppgir kjent hypertensjon og diabetes. Har ikke målt blodtrykk nylig og tar lisinopril 20 mg “de fleste dager”. Måler blodsukker 4–5 ganger per uke og tar metformin 500 mg. Oppgir at blodsukkeret virker “litt bedre”.
**O - Objektive opplysninger**  
Blodtrykk oppgitt som fortsatt forhøyet, rundt 180/80. Cor: regelmessig rytme, ingen bilyd. Pulm: klare lungelyder bilateralt. Høyre kne: ømhet lateralt, ikke medialt. Noe smerter ved bevegel…</t>
        </is>
      </c>
      <c r="C6" s="14" t="n"/>
      <c r="D6" s="14" t="n"/>
      <c r="E6" s="14" t="n"/>
      <c r="F6" s="14" t="n"/>
      <c r="G6" s="14" t="n"/>
      <c r="H6" s="14" t="n"/>
      <c r="I6" s="14" t="n"/>
      <c r="J6" s="14" t="n"/>
      <c r="K6" s="14" t="n"/>
      <c r="L6" s="14" t="n"/>
      <c r="M6" s="14" t="n"/>
      <c r="N6" s="15">
        <f>IF(COUNT(C6:I6)&lt;7,"",IF(J6=1,IF(ISNUMBER(K6),ROUND((SUM(C6:I6)+K6)/8,4),"venter på synthesized"),ROUND(AVERAGE(C6:I6),4)))</f>
        <v/>
      </c>
      <c r="O6" s="16" t="n"/>
    </row>
    <row r="7" ht="210" customHeight="1">
      <c r="A7" s="12" t="inlineStr">
        <is>
          <t>02_zero_shot_structured_instruction</t>
        </is>
      </c>
      <c r="B7" s="13" t="inlineStr">
        <is>
          <t>S - Subjektive opplysninger:
- Kontakt pga. høyresidige knesmerter etter skade på trampoline for 1 uke siden. Pasienten opplyser at han hørte et “snap/pop” med umiddelbar smerte ved landing.
- Smertene er mest lokalisert lateralt i høyre kne.
- Har tatt Tylenol uten særlig effekt. Har ellers kun hevet benet, ikke brukt is eller varme.
- Kan belaste, men går med lett halting.
- Oppgir kjent hypertensjon. Har ikke skaffet blodtrykksmansjett og har ikke målt blodtrykk nylig. Tar lisinopril 20 mg, men husker det bare “de fleste dager”.
- Oppgir diabetes. Måler blodsukker 4–5 ganger per uke, tar metformin 500 mg. Opplever at blodsukkeret er “litt bedre”. Kosthold uendret, forsøker å følge litt med på karbohydrater, men ikke spesifikk diett.
O - Objektive opplysninger:
- Vitalia omtalt med blod…</t>
        </is>
      </c>
      <c r="C7" s="14" t="n"/>
      <c r="D7" s="14" t="n"/>
      <c r="E7" s="14" t="n"/>
      <c r="F7" s="14" t="n"/>
      <c r="G7" s="14" t="n"/>
      <c r="H7" s="14" t="n"/>
      <c r="I7" s="14" t="n"/>
      <c r="J7" s="14" t="n"/>
      <c r="K7" s="14" t="n"/>
      <c r="L7" s="14" t="n"/>
      <c r="M7" s="14" t="n"/>
      <c r="N7" s="15">
        <f>IF(COUNT(C7:I7)&lt;7,"",IF(J7=1,IF(ISNUMBER(K7),ROUND((SUM(C7:I7)+K7)/8,4),"venter på synthesized"),ROUND(AVERAGE(C7:I7),4)))</f>
        <v/>
      </c>
      <c r="O7" s="16" t="n"/>
    </row>
    <row r="8" ht="210" customHeight="1">
      <c r="A8" s="12" t="inlineStr">
        <is>
          <t>03_one_shot</t>
        </is>
      </c>
      <c r="B8" s="13" t="inlineStr">
        <is>
          <t>S - Subjektive opplysninger:
- Kontaktårsak er høyre kneskade. Pasienten oppgir at skaden oppsto for 1 uke siden på trampolinepark, med hørbart «snap/pop» og umiddelbar smerte ved landing. Smerten sitter hovedsakelig lateralt i høyre kne.
- Har kun brukt paracetamol uten særlig effekt. Har ellers hevet benet, men ikke brukt is eller varme.
- Kan belaste benet, men halter litt.
- Oppgir kjent hypertensjon. Har ikke skaffet blodtrykksapparat og har ikke målt blodtrykk nylig. Oppgir at han tar lisinopril 20 mg «de fleste dager».
- Oppgir diabetes. Sier blodsukrene kanskje er litt bedre. Måler blodsukker 4–5 ganger per uke når han husker det. Oppgir at han tar metformin 500 mg. Kostholdet beskrives som «kunne vært bedre»; forsøker å følge litt med på karbohydrater, men ikke spesifikk diett.
O…</t>
        </is>
      </c>
      <c r="C8" s="14" t="n"/>
      <c r="D8" s="14" t="n"/>
      <c r="E8" s="14" t="n"/>
      <c r="F8" s="14" t="n"/>
      <c r="G8" s="14" t="n"/>
      <c r="H8" s="14" t="n"/>
      <c r="I8" s="14" t="n"/>
      <c r="J8" s="14" t="n"/>
      <c r="K8" s="14" t="n"/>
      <c r="L8" s="14" t="n"/>
      <c r="M8" s="14" t="n"/>
      <c r="N8" s="15">
        <f>IF(COUNT(C8:I8)&lt;7,"",IF(J8=1,IF(ISNUMBER(K8),ROUND((SUM(C8:I8)+K8)/8,4),"venter på synthesized"),ROUND(AVERAGE(C8:I8),4)))</f>
        <v/>
      </c>
      <c r="O8" s="16" t="n"/>
    </row>
    <row r="9" ht="210" customHeight="1">
      <c r="A9" s="12" t="inlineStr">
        <is>
          <t>04_two_shot</t>
        </is>
      </c>
      <c r="B9" s="13" t="inlineStr">
        <is>
          <t>S - Subjektive opplysninger:
- Kontaktårsak er høyre kneskade. Pasienten oppgir at skaden oppsto for 1 uke siden på trampolinepark, med hørbart «snap/pop» og umiddelbar smerte ved landing.
- Smerten er lokalisert lateralt i høyre kne. Har tatt paracetamol uten særlig effekt. Har ellers kun holdt benet hevet, ikke brukt is eller varme.
- Kan belaste benet, men oppgir lett halting.
- Kjent hypertensjon. Har ikke skaffet blodtrykksmansjett og har ikke målt blodtrykk nylig. Oppgir at han tar lisinopril 20 mg «de fleste dager».
- Kjent diabetes. Oppgir at blodsukkeret virker litt bedre. Måler blodsukker 4–5 ganger per uke når han husker det. Oppgir bruk av metformin 500 mg. Kostholdet beskrives som «kunne vært bedre», forsøker å følge litt med på karbohydrater, men ikke spesifikk diett.
O - Ob…</t>
        </is>
      </c>
      <c r="C9" s="14" t="n"/>
      <c r="D9" s="14" t="n"/>
      <c r="E9" s="14" t="n"/>
      <c r="F9" s="14" t="n"/>
      <c r="G9" s="14" t="n"/>
      <c r="H9" s="14" t="n"/>
      <c r="I9" s="14" t="n"/>
      <c r="J9" s="14" t="n"/>
      <c r="K9" s="14" t="n"/>
      <c r="L9" s="14" t="n"/>
      <c r="M9" s="14" t="n"/>
      <c r="N9" s="15">
        <f>IF(COUNT(C9:I9)&lt;7,"",IF(J9=1,IF(ISNUMBER(K9),ROUND((SUM(C9:I9)+K9)/8,4),"venter på synthesized"),ROUND(AVERAGE(C9:I9),4)))</f>
        <v/>
      </c>
      <c r="O9" s="16" t="n"/>
    </row>
    <row r="10" ht="210" customHeight="1">
      <c r="A10" s="12" t="inlineStr">
        <is>
          <t>05_two_shot_decomposition</t>
        </is>
      </c>
      <c r="B10" s="13" t="inlineStr">
        <is>
          <t>S - Subjektive opplysninger:
- Oppsøker for høyre kneskade etter trampolinepark for 1 uke siden. Oppgir at han hørte et «snap/pop» med umiddelbar smerte. Smerten sitter lateralt i høyre kne.
- Har tatt paracetamol uten særlig effekt. Har ellers kun holdt kneet hevet, ikke brukt is eller varme.
- Kan belaste benet, men halter litt.
- Kjent hypertensjon. Har ikke skaffet blodtrykksapparat og har ikke målt blodtrykk nylig. Oppgir at han tar lisinopril 20 mg «de fleste dager».
- Kjent diabetes. Oppgir at blodsukkeret virker litt bedre. Måler blodsukker 4–5 ganger per uke når han husker det, og tar metformin 500 mg. Kostholdet beskrives som «kunne vært bedre», forsøker å følge litt med på karbohydrater, men ikke spesifikk diett.
O - Objektive opplysninger:
- Vitalia: blodtrykk omtalt som forts…</t>
        </is>
      </c>
      <c r="C10" s="14" t="n"/>
      <c r="D10" s="14" t="n"/>
      <c r="E10" s="14" t="n"/>
      <c r="F10" s="14" t="n"/>
      <c r="G10" s="14" t="n"/>
      <c r="H10" s="14" t="n"/>
      <c r="I10" s="14" t="n"/>
      <c r="J10" s="14" t="n"/>
      <c r="K10" s="14" t="n"/>
      <c r="L10" s="14" t="n"/>
      <c r="M10" s="14" t="n"/>
      <c r="N10" s="15">
        <f>IF(COUNT(C10:I10)&lt;7,"",IF(J10=1,IF(ISNUMBER(K10),ROUND((SUM(C10:I10)+K10)/8,4),"venter på synthesized"),ROUND(AVERAGE(C10:I10),4)))</f>
        <v/>
      </c>
      <c r="O10" s="16" t="n"/>
    </row>
    <row r="11" ht="210" customHeight="1">
      <c r="A11" s="12" t="inlineStr">
        <is>
          <t>06_two_shot_self_criticism</t>
        </is>
      </c>
      <c r="B11" s="13" t="inlineStr">
        <is>
          <t>S - Subjektive opplysninger:
- Kontaktårsak er høyre kneskade. Pasienten oppgir at skaden oppsto for 1 uke siden på trampolinepark, med hørbart «snap/pop» og umiddelbar smerte i høyre kne.
- Smertene er lokalisert lateralt i høyre kne. Har kun brukt paracetamol uten særlig effekt. Har hevet benet, men ikke brukt is eller varme.
- Kan belaste benet, men oppgir halting.
- Relevant sykehistorie: kjent hypertensjon og diabetes. Oppgir at han ikke har målt blodtrykk nylig og ikke har skaffet blodtrykksapparat som tidligere anbefalt. Tar lisinopril 20 mg «de fleste dager». Oppgir at blodsukkeret virker litt bedre, måler dette 4–5 ganger per uke, og bruker metformin 500 mg. Kostholdet beskrives som uspesifikt, forsøker å følge litt med på karbohydrater.
O - Objektive opplysninger:
- Vitalia: blo…</t>
        </is>
      </c>
      <c r="C11" s="14" t="n"/>
      <c r="D11" s="14" t="n"/>
      <c r="E11" s="14" t="n"/>
      <c r="F11" s="14" t="n"/>
      <c r="G11" s="14" t="n"/>
      <c r="H11" s="14" t="n"/>
      <c r="I11" s="14" t="n"/>
      <c r="J11" s="14" t="n"/>
      <c r="K11" s="14" t="n"/>
      <c r="L11" s="14" t="n"/>
      <c r="M11" s="14" t="n"/>
      <c r="N11" s="15">
        <f>IF(COUNT(C11:I11)&lt;7,"",IF(J11=1,IF(ISNUMBER(K11),ROUND((SUM(C11:I11)+K11)/8,4),"venter på synthesized"),ROUND(AVERAGE(C11:I11),4)))</f>
        <v/>
      </c>
      <c r="O11" s="16" t="n"/>
    </row>
    <row r="12" ht="210" customHeight="1">
      <c r="A12" s="12" t="inlineStr">
        <is>
          <t>07_two_shot_decomposition_self_criticism</t>
        </is>
      </c>
      <c r="B12" s="13" t="inlineStr">
        <is>
          <t>S - Subjektive opplysninger:
- Oppsøker for høyresidige knesmerter etter skade på trampoline for 1 uke siden. Oppgir at han hørte et «snap/pop» med umiddelbar smerte ved landing.
- Smerten er lokalisert lateralt i høyre kne. Har kun brukt paracetamol uten effekt. Har hevet benet, men ikke brukt is eller varme.
- Kan belaste benet, men halter litt.
- Oppgir kjent hypertensjon. Har ikke skaffet blodtrykksapparat og har ikke målt blodtrykk nylig. Oppgir at han tar lisinopril 20 mg «de fleste dager».
- Oppgir diabetes. Mener blodsukkeret er «litt bedre», måler 4–5 ganger per uke og tar metformin 500 mg. Kostholdet beskrives som kunne vært bedre; forsøker å redusere karbohydrater, men følger ingen spesifikk diett.
O - Objektive opplysninger:
- Vitalia omtalt med blodtrykk rundt 180/80, vurdert…</t>
        </is>
      </c>
      <c r="C12" s="14" t="n"/>
      <c r="D12" s="14" t="n"/>
      <c r="E12" s="14" t="n"/>
      <c r="F12" s="14" t="n"/>
      <c r="G12" s="14" t="n"/>
      <c r="H12" s="14" t="n"/>
      <c r="I12" s="14" t="n"/>
      <c r="J12" s="14" t="n"/>
      <c r="K12" s="14" t="n"/>
      <c r="L12" s="14" t="n"/>
      <c r="M12" s="14" t="n"/>
      <c r="N12" s="15">
        <f>IF(COUNT(C12:I12)&lt;7,"",IF(J12=1,IF(ISNUMBER(K12),ROUND((SUM(C12:I12)+K12)/8,4),"venter på synthesized"),ROUND(AVERAGE(C12:I12),4)))</f>
        <v/>
      </c>
      <c r="O12" s="16" t="n"/>
    </row>
    <row r="13" ht="210" customHeight="1">
      <c r="A13" s="12" t="inlineStr">
        <is>
          <t>08_two_shot_decomposition_self_criticism_ensemble</t>
        </is>
      </c>
      <c r="B13" s="13" t="inlineStr">
        <is>
          <t>S - Subjektive opplysninger:
- Kontaktårsak er høyre kneskade. Pasienten oppgir at skaden oppsto for 1 uke siden på trampolinepark, med hørbart «snap/pop» og umiddelbar smerte ved landing.
- Smerten sitter hovedsakelig lateralt i høyre kne. Har tatt paracetamol uten særlig effekt. Har ellers kun hevet benet, ikke brukt is eller varme.
- Kan belaste benet, men oppgir lett halting.
- Oppgir kjent hypertensjon. Har ikke skaffet blodtrykksapparat og har ikke målt blodtrykk nylig. Oppgir at han tar lisinopril 20 mg «de fleste dager».
- Oppgir kjent diabetes. Mener blodsukkeret er litt bedre, måler ca. 4–5 ganger per uke, og tar metformin 500 mg. Kostholdet beskrives som uspesifikt, forsøker å følge litt med på karbohydrater.
O - Objektive opplysninger:
- Vitalia: blodtrykk omtalt som fortsatt …</t>
        </is>
      </c>
      <c r="C13" s="14" t="n"/>
      <c r="D13" s="14" t="n"/>
      <c r="E13" s="14" t="n"/>
      <c r="F13" s="14" t="n"/>
      <c r="G13" s="14" t="n"/>
      <c r="H13" s="14" t="n"/>
      <c r="I13" s="14" t="n"/>
      <c r="J13" s="14" t="n"/>
      <c r="K13" s="14" t="n"/>
      <c r="L13" s="14" t="n"/>
      <c r="M13" s="14" t="n"/>
      <c r="N13" s="15">
        <f>IF(COUNT(C13:I13)&lt;7,"",IF(J13=1,IF(ISNUMBER(K13),ROUND((SUM(C13:I13)+K13)/8,4),"venter på synthesized"),ROUND(AVERAGE(C13:I13),4)))</f>
        <v/>
      </c>
      <c r="O13" s="16" t="n"/>
    </row>
  </sheetData>
  <mergeCells count="3">
    <mergeCell ref="A1:O1"/>
    <mergeCell ref="A3:O3"/>
    <mergeCell ref="A2:O2"/>
  </mergeCells>
  <conditionalFormatting sqref="C6:C13">
    <cfRule type="expression" priority="1" dxfId="0">
      <formula>ISBLANK(C6)</formula>
    </cfRule>
  </conditionalFormatting>
  <conditionalFormatting sqref="D6:D13">
    <cfRule type="expression" priority="2" dxfId="0">
      <formula>ISBLANK(D6)</formula>
    </cfRule>
  </conditionalFormatting>
  <conditionalFormatting sqref="E6:E13">
    <cfRule type="expression" priority="3" dxfId="0">
      <formula>ISBLANK(E6)</formula>
    </cfRule>
  </conditionalFormatting>
  <conditionalFormatting sqref="F6:F13">
    <cfRule type="expression" priority="4" dxfId="0">
      <formula>ISBLANK(F6)</formula>
    </cfRule>
  </conditionalFormatting>
  <conditionalFormatting sqref="G6:G13">
    <cfRule type="expression" priority="5" dxfId="0">
      <formula>ISBLANK(G6)</formula>
    </cfRule>
  </conditionalFormatting>
  <conditionalFormatting sqref="H6:H13">
    <cfRule type="expression" priority="6" dxfId="0">
      <formula>ISBLANK(H6)</formula>
    </cfRule>
  </conditionalFormatting>
  <conditionalFormatting sqref="I6:I13">
    <cfRule type="expression" priority="7" dxfId="0">
      <formula>ISBLANK(I6)</formula>
    </cfRule>
  </conditionalFormatting>
  <conditionalFormatting sqref="J6:J13">
    <cfRule type="expression" priority="8" dxfId="0">
      <formula>ISBLANK(J6)</formula>
    </cfRule>
  </conditionalFormatting>
  <conditionalFormatting sqref="L6:L13">
    <cfRule type="expression" priority="9" dxfId="0">
      <formula>ISBLANK(L6)</formula>
    </cfRule>
  </conditionalFormatting>
  <conditionalFormatting sqref="M6:M13">
    <cfRule type="expression" priority="10" dxfId="0">
      <formula>ISBLANK(M6)</formula>
    </cfRule>
  </conditionalFormatting>
  <dataValidations count="3">
    <dataValidation sqref="C6 C7 C8 C9 C10 C11 C12 C13 D6 D7 D8 D9 D10 D11 D12 D13 E6 E7 E8 E9 E10 E11 E12 E13 F6 F7 F8 F9 F10 F11 F12 F13 G6 G7 G8 G9 G10 G11 G12 G13 H6 H7 H8 H9 H10 H11 H12 H13 I6 I7 I8 I9 I10 I11 I12 I13" showDropDown="0" showInputMessage="0" showErrorMessage="0" allowBlank="0" errorTitle="Ugyldig" error="Skriv et heltall mellom 1 og 5." type="whole" operator="between">
      <formula1>1</formula1>
      <formula2>5</formula2>
    </dataValidation>
    <dataValidation sqref="J6 J7 J8 J9 J10 J11 J12 J13 L6 L7 L8 L9 L10 L11 L12 L13 M6 M7 M8 M9 M10 M11 M12 M13" showDropDown="0" showInputMessage="0" showErrorMessage="0" allowBlank="0" errorTitle="Ugyldig" error="Skriv 0 eller 1." type="whole" operator="between">
      <formula1>0</formula1>
      <formula2>1</formula2>
    </dataValidation>
    <dataValidation sqref="K6 K7 K8 K9 K10 K11 K12 K13" showDropDown="0" showInputMessage="0" showErrorMessage="0" allowBlank="1" errorTitle="Ugyldig" error="Skriv et heltall 1-5, eller la cellen stå tom." type="whole" operator="between">
      <formula1>1</formula1>
      <formula2>5</formula2>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2026-04-26T13:02:55Z</dcterms:created>
  <dcterms:modified xmlns:dcterms="http://purl.org/dc/terms/" xmlns:xsi="http://www.w3.org/2001/XMLSchema-instance" xsi:type="dcterms:W3CDTF">2026-04-26T13:02:55Z</dcterms:modified>
</cp:coreProperties>
</file>